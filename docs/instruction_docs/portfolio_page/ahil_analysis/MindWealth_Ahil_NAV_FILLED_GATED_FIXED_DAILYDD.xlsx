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80" windowHeight="16120" tabRatio="500" firstSheet="0" activeTab="0" autoFilterDateGrouping="1"/>
  </bookViews>
  <sheets>
    <sheet name="Instructions" sheetId="1" state="visible" r:id="rId1"/>
    <sheet name="Monthly_NAV" sheetId="2" state="visible" r:id="rId2"/>
    <sheet name="Portfolio_Stats" sheetId="3" state="visible" r:id="rId3"/>
    <sheet name="Daily_Activity" sheetId="4" state="visible" r:id="rId4"/>
    <sheet name="Drawdown_Epis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0.0"/>
    <numFmt numFmtId="167" formatCode="yyyy-mm-dd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D1B2A"/>
      <sz val="10"/>
    </font>
    <font>
      <name val="Arial"/>
      <family val="2"/>
      <color rgb="FF0D1B2A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0D1B2A"/>
      <sz val="9"/>
    </font>
    <font>
      <name val="Arial"/>
      <family val="2"/>
      <b val="1"/>
      <color rgb="FFFFFFFF"/>
      <sz val="9"/>
    </font>
    <font>
      <name val="Arial"/>
      <family val="2"/>
      <color rgb="FF0D1B2A"/>
      <sz val="9"/>
    </font>
    <font>
      <name val="Arial"/>
      <family val="2"/>
      <b val="1"/>
      <color rgb="FF0000FF"/>
      <sz val="9"/>
    </font>
    <font>
      <name val="Arial"/>
      <family val="2"/>
      <color rgb="FF0000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FFFFF"/>
      </patternFill>
    </fill>
    <fill>
      <patternFill patternType="solid">
        <fgColor rgb="FF1A3A5C"/>
        <bgColor rgb="FF333333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1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9" fillId="5" borderId="1" pivotButton="0" quotePrefix="0" xfId="0"/>
    <xf numFmtId="0" fontId="3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166" fontId="10" fillId="0" borderId="1" pivotButton="0" quotePrefix="0" xfId="0"/>
    <xf numFmtId="167" fontId="14" fillId="5" borderId="1" applyAlignment="1" pivotButton="0" quotePrefix="0" xfId="0">
      <alignment vertical="center" wrapText="1"/>
    </xf>
    <xf numFmtId="167" fontId="9" fillId="5" borderId="1" pivotButton="0" quotePrefix="0" xfId="0"/>
    <xf numFmtId="167" fontId="0" fillId="0" borderId="0" pivotButton="0" quotePrefix="0" xfId="0"/>
    <xf numFmtId="10" fontId="0" fillId="0" borderId="0" pivotButton="0" quotePrefix="0" xfId="0"/>
    <xf numFmtId="10" fontId="1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D1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tabSelected="1" zoomScaleNormal="100" workbookViewId="0">
      <selection activeCell="B21" sqref="B21"/>
    </sheetView>
  </sheetViews>
  <sheetFormatPr baseColWidth="10" defaultColWidth="8.6640625" defaultRowHeight="15"/>
  <cols>
    <col width="5" customWidth="1" min="1" max="1"/>
    <col width="30" customWidth="1" min="2" max="2"/>
    <col width="80" customWidth="1" min="3" max="3"/>
  </cols>
  <sheetData>
    <row r="1" ht="7.5" customHeight="1"/>
    <row r="2" ht="21.75" customHeight="1">
      <c r="B2" s="6" t="inlineStr">
        <is>
          <t>INSTRUCTIONS FOR AHIL</t>
        </is>
      </c>
    </row>
    <row r="3" ht="30" customHeight="1">
      <c r="B3" s="7" t="inlineStr">
        <is>
          <t>Purpose</t>
        </is>
      </c>
      <c r="C3" s="8" t="inlineStr">
        <is>
          <t>This workbook asks you to produce a monthly NAV series from the MindWealth forward-simulation record. Every other performance metric in this file derives from that one input series. Do not modify any formula cells (black text). Only fill in the yellow INPUT cells.</t>
        </is>
      </c>
    </row>
    <row r="5" ht="21.75" customHeight="1">
      <c r="B5" s="6" t="inlineStr">
        <is>
          <t>SHEET GUIDE</t>
        </is>
      </c>
    </row>
    <row r="6" ht="30" customHeight="1">
      <c r="B6" s="7" t="inlineStr">
        <is>
          <t>Monthly_NAV</t>
        </is>
      </c>
      <c r="C6" s="8" t="inlineStr">
        <is>
          <t>Fill the yellow cells with closing NAV each month-end. All returns, Sharpe, CAGR, drawdown derive from your inputs here.</t>
        </is>
      </c>
    </row>
    <row r="7" ht="30" customHeight="1">
      <c r="B7" s="7" t="inlineStr">
        <is>
          <t>Portfolio_Stats</t>
        </is>
      </c>
      <c r="C7" s="8" t="inlineStr">
        <is>
          <t>Auto-calculated summary — Sharpe, CAGR, vol, max drawdown, best/worst month, % positive months. Do not edit.</t>
        </is>
      </c>
    </row>
    <row r="8" ht="30" customHeight="1">
      <c r="B8" s="7" t="inlineStr">
        <is>
          <t>Daily_Activity</t>
        </is>
      </c>
      <c r="C8" s="8" t="inlineStr">
        <is>
          <t>Optional sheet: fill in daily active signal count so we can compute average capital utilisation.</t>
        </is>
      </c>
    </row>
    <row r="10" ht="21.75" customHeight="1">
      <c r="B10" s="6" t="inlineStr">
        <is>
          <t>CONSTRUCTION RULES</t>
        </is>
      </c>
    </row>
    <row r="11" ht="30" customHeight="1">
      <c r="B11" s="7" t="inlineStr">
        <is>
          <t>Starting Capital</t>
        </is>
      </c>
      <c r="C11" s="8" t="inlineStr">
        <is>
          <t>Use $10,000,000 as starting NAV on the first signal date.</t>
        </is>
      </c>
    </row>
    <row r="12" ht="30" customHeight="1">
      <c r="B12" s="7" t="inlineStr">
        <is>
          <t>Equal Weight</t>
        </is>
      </c>
      <c r="C12" s="8" t="inlineStr">
        <is>
          <t>Each active position = 1/N of total portfolio NAV, where N = number of active signals on that day.</t>
        </is>
      </c>
    </row>
    <row r="13" ht="30" customHeight="1">
      <c r="B13" s="7" t="inlineStr">
        <is>
          <t>Rebalancing</t>
        </is>
      </c>
      <c r="C13" s="8" t="inlineStr">
        <is>
          <t>On each new signal entry date, rebalance ALL active positions to 1/N equal weight. Trim existing, add new.</t>
        </is>
      </c>
    </row>
    <row r="14" ht="30" customHeight="1">
      <c r="B14" s="7" t="inlineStr">
        <is>
          <t>Month-End MTM</t>
        </is>
      </c>
      <c r="C14" s="8" t="inlineStr">
        <is>
          <t>Value all open positions at closing price on the last trading day of each month.</t>
        </is>
      </c>
    </row>
    <row r="15" ht="30" customHeight="1">
      <c r="B15" s="7" t="inlineStr">
        <is>
          <t>Compounding</t>
        </is>
      </c>
      <c r="C15" s="8" t="inlineStr">
        <is>
          <t>Each month's closing NAV becomes the next month's opening NAV. Do not withdraw or inject capital.</t>
        </is>
      </c>
    </row>
    <row r="16" ht="30" customHeight="1">
      <c r="B16" s="7" t="inlineStr">
        <is>
          <t>No Leverage</t>
        </is>
      </c>
      <c r="C16" s="8" t="inlineStr">
        <is>
          <t>Gross exposure must not exceed 100% of NAV at any time.</t>
        </is>
      </c>
    </row>
    <row r="17" ht="30" customHeight="1">
      <c r="B17" s="7" t="inlineStr">
        <is>
          <t>No Fees</t>
        </is>
      </c>
      <c r="C17" s="8" t="inlineStr">
        <is>
          <t>No management fee, performance fee, slippage, commission, or financing cost applied.</t>
        </is>
      </c>
    </row>
    <row r="18" ht="30" customHeight="1">
      <c r="B18" s="7" t="inlineStr">
        <is>
          <t>Risk Free Rate</t>
        </is>
      </c>
      <c r="C18" s="8" t="inlineStr">
        <is>
          <t>Use 0% as risk-free rate for Sharpe calculation (stated explicitly in presentation).</t>
        </is>
      </c>
    </row>
    <row r="20" ht="21.75" customHeight="1">
      <c r="B20" s="6" t="inlineStr">
        <is>
          <t>WHAT WE NEED FROM YOU</t>
        </is>
      </c>
    </row>
    <row r="21" ht="30" customHeight="1">
      <c r="B21" s="7" t="inlineStr">
        <is>
          <t>1. Monthly NAV</t>
        </is>
      </c>
      <c r="C21" s="8" t="inlineStr">
        <is>
          <t>The closing NAV of the equal-weight portfolio at the last trading day of each month, from first signal date to today.</t>
        </is>
      </c>
    </row>
    <row r="22" ht="30" customHeight="1">
      <c r="B22" s="7" t="inlineStr">
        <is>
          <t>2. Daily Active N</t>
        </is>
      </c>
      <c r="C22" s="8" t="inlineStr">
        <is>
          <t>For each trading day: how many signals were simultaneously active (optional but useful for utilisation analysis).</t>
        </is>
      </c>
    </row>
    <row r="23" ht="30" customHeight="1">
      <c r="B23" s="7" t="inlineStr">
        <is>
          <t>3. Start Date</t>
        </is>
      </c>
      <c r="C23" s="8" t="inlineStr">
        <is>
          <t>Confirm the exact date of the first signal ever fired — this is our Sharpe-clock start.</t>
        </is>
      </c>
    </row>
  </sheetData>
  <mergeCells count="4">
    <mergeCell ref="B2:C2"/>
    <mergeCell ref="B5:C5"/>
    <mergeCell ref="B20:C20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10" defaultColWidth="8.6640625" defaultRowHeight="15"/>
  <cols>
    <col width="5" customWidth="1" min="1" max="1"/>
    <col width="14" customWidth="1" min="2" max="3"/>
    <col width="16" customWidth="1" min="4" max="4"/>
    <col width="14" customWidth="1" min="5" max="5"/>
    <col width="16" customWidth="1" min="6" max="6"/>
    <col width="18" customWidth="1" min="7" max="7"/>
    <col width="16" customWidth="1" min="8" max="9"/>
    <col width="14" customWidth="1" min="10" max="11"/>
  </cols>
  <sheetData>
    <row r="1" ht="27.75" customHeight="1">
      <c r="B1" s="5" t="inlineStr">
        <is>
          <t>MINDWEALTH — MONTHLY NAV &amp; RETURN SERIES  |  Equal-Weight, Unleveraged, Pre-Fees</t>
        </is>
      </c>
    </row>
    <row r="2" ht="15.75" customHeight="1">
      <c r="B2" s="4" t="inlineStr">
        <is>
          <t>Yellow cells = Ahil to populate  |  Black cells = auto-calculated formulas  |  Risk-free rate = 0%  |  No leverage, no fees, no slippage</t>
        </is>
      </c>
    </row>
    <row r="3" ht="36" customHeight="1">
      <c r="A3" s="9" t="n"/>
      <c r="B3" s="9" t="inlineStr">
        <is>
          <t>Month
(MMM-YY)</t>
        </is>
      </c>
      <c r="C3" s="9" t="inlineStr">
        <is>
          <t>Opening
NAV ($)</t>
        </is>
      </c>
      <c r="D3" s="9" t="inlineStr">
        <is>
          <t>Closing NAV ($)
[FILL IN YELLOW]</t>
        </is>
      </c>
      <c r="E3" s="9" t="inlineStr">
        <is>
          <t>Monthly
Return (%)</t>
        </is>
      </c>
      <c r="F3" s="9" t="inlineStr">
        <is>
          <t>Cumulative Return
Since Inception (%)</t>
        </is>
      </c>
      <c r="G3" s="9" t="inlineStr">
        <is>
          <t>Annualised Return since Inception (CAGR)
Since Inception (%)</t>
        </is>
      </c>
      <c r="H3" s="9" t="inlineStr">
        <is>
          <t>Monthly P&amp;L
($)</t>
        </is>
      </c>
      <c r="I3" s="9" t="inlineStr">
        <is>
          <t>Drawdown
From Peak (%)</t>
        </is>
      </c>
      <c r="J3" s="9" t="inlineStr">
        <is>
          <t>Peak NAV
To Date ($)</t>
        </is>
      </c>
      <c r="K3" s="9" t="inlineStr">
        <is>
          <t>Notes</t>
        </is>
      </c>
      <c r="L3" t="inlineStr">
        <is>
          <t>Benchmark
Monthly Return (%)</t>
        </is>
      </c>
      <c r="M3" t="inlineStr">
        <is>
          <t>Excess Return
(Portfolio - Benchmark)</t>
        </is>
      </c>
      <c r="N3" t="inlineStr">
        <is>
          <t>Months in
Drawdown</t>
        </is>
      </c>
    </row>
    <row r="4" ht="15.75" customHeight="1">
      <c r="B4" s="10" t="inlineStr">
        <is>
          <t>Jan-24</t>
        </is>
      </c>
      <c r="C4" s="11" t="n">
        <v>10000000</v>
      </c>
      <c r="D4" s="12" t="n">
        <v>10232271.76</v>
      </c>
      <c r="E4" s="13">
        <f>IF(D4="","",IF(C4=0,"",(D4-C4)/C4))</f>
        <v/>
      </c>
      <c r="F4" s="13">
        <f>IF(D4="","",(D4-$C$4)/$C$4)</f>
        <v/>
      </c>
      <c r="G4" s="13">
        <f>IF(D4="","",(D4/$C$4)^(12/1)-1)</f>
        <v/>
      </c>
      <c r="H4" s="14">
        <f>IF(D4="","",D4-C4)</f>
        <v/>
      </c>
      <c r="I4" s="13">
        <f>IF(D4="","",IF(J4=0,"",(D4-J4)/J4))</f>
        <v/>
      </c>
      <c r="J4" s="14">
        <f>IF(D4="","",MAX(D4,$C$4))</f>
        <v/>
      </c>
      <c r="K4" s="15" t="n"/>
      <c r="L4" s="29" t="n">
        <v>0.015896</v>
      </c>
      <c r="M4" s="29">
        <f>IF(OR(D4="",L4=""),"",E4-L4)</f>
        <v/>
      </c>
      <c r="N4">
        <f>IF(D4="","",IF(I4&lt;0,1,0))</f>
        <v/>
      </c>
    </row>
    <row r="5" ht="15.75" customHeight="1">
      <c r="B5" s="10" t="inlineStr">
        <is>
          <t>Feb-24</t>
        </is>
      </c>
      <c r="C5" s="14">
        <f>D4</f>
        <v/>
      </c>
      <c r="D5" s="12" t="n">
        <v>10663617.83</v>
      </c>
      <c r="E5" s="13">
        <f>IF(D5="","",IF(C5=0,"",(D5-C5)/C5))</f>
        <v/>
      </c>
      <c r="F5" s="13">
        <f>IF(D5="","",(D5-$C$4)/$C$4)</f>
        <v/>
      </c>
      <c r="G5" s="13">
        <f>IF(D5="","",(D5/$C$4)^(12/2)-1)</f>
        <v/>
      </c>
      <c r="H5" s="14">
        <f>IF(D5="","",D5-C5)</f>
        <v/>
      </c>
      <c r="I5" s="13">
        <f>IF(D5="","",IF(J5=0,"",(D5-J5)/J5))</f>
        <v/>
      </c>
      <c r="J5" s="14">
        <f>IF(D5="","",MAX(D5,J4))</f>
        <v/>
      </c>
      <c r="K5" s="15" t="n"/>
      <c r="L5" s="29" t="n">
        <v>0.051721</v>
      </c>
      <c r="M5" s="29">
        <f>IF(OR(D5="",L5=""),"",E5-L5)</f>
        <v/>
      </c>
      <c r="N5">
        <f>IF(D5="","",IF(I5&lt;0,N4+1,0))</f>
        <v/>
      </c>
    </row>
    <row r="6" ht="15.75" customHeight="1">
      <c r="B6" s="10" t="inlineStr">
        <is>
          <t>Mar-24</t>
        </is>
      </c>
      <c r="C6" s="14">
        <f>D5</f>
        <v/>
      </c>
      <c r="D6" s="12" t="n">
        <v>10803505.64</v>
      </c>
      <c r="E6" s="13">
        <f>IF(D6="","",IF(C6=0,"",(D6-C6)/C6))</f>
        <v/>
      </c>
      <c r="F6" s="13">
        <f>IF(D6="","",(D6-$C$4)/$C$4)</f>
        <v/>
      </c>
      <c r="G6" s="13">
        <f>IF(D6="","",(D6/$C$4)^(12/3)-1)</f>
        <v/>
      </c>
      <c r="H6" s="14">
        <f>IF(D6="","",D6-C6)</f>
        <v/>
      </c>
      <c r="I6" s="13">
        <f>IF(D6="","",IF(J6=0,"",(D6-J6)/J6))</f>
        <v/>
      </c>
      <c r="J6" s="14">
        <f>IF(D6="","",MAX(D6,J5))</f>
        <v/>
      </c>
      <c r="K6" s="15" t="n"/>
      <c r="L6" s="29" t="n">
        <v>0.031019</v>
      </c>
      <c r="M6" s="29">
        <f>IF(OR(D6="",L6=""),"",E6-L6)</f>
        <v/>
      </c>
      <c r="N6">
        <f>IF(D6="","",IF(I6&lt;0,N5+1,0))</f>
        <v/>
      </c>
    </row>
    <row r="7" ht="15.75" customHeight="1">
      <c r="B7" s="10" t="inlineStr">
        <is>
          <t>Apr-24</t>
        </is>
      </c>
      <c r="C7" s="14">
        <f>D6</f>
        <v/>
      </c>
      <c r="D7" s="12" t="n">
        <v>10713144.3</v>
      </c>
      <c r="E7" s="13">
        <f>IF(D7="","",IF(C7=0,"",(D7-C7)/C7))</f>
        <v/>
      </c>
      <c r="F7" s="13">
        <f>IF(D7="","",(D7-$C$4)/$C$4)</f>
        <v/>
      </c>
      <c r="G7" s="13">
        <f>IF(D7="","",(D7/$C$4)^(12/4)-1)</f>
        <v/>
      </c>
      <c r="H7" s="14">
        <f>IF(D7="","",D7-C7)</f>
        <v/>
      </c>
      <c r="I7" s="13">
        <f>IF(D7="","",IF(J7=0,"",(D7-J7)/J7))</f>
        <v/>
      </c>
      <c r="J7" s="14">
        <f>IF(D7="","",MAX(D7,J6))</f>
        <v/>
      </c>
      <c r="K7" s="15" t="n"/>
      <c r="L7" s="29" t="n">
        <v>-0.041615</v>
      </c>
      <c r="M7" s="29">
        <f>IF(OR(D7="",L7=""),"",E7-L7)</f>
        <v/>
      </c>
      <c r="N7">
        <f>IF(D7="","",IF(I7&lt;0,N6+1,0))</f>
        <v/>
      </c>
    </row>
    <row r="8" ht="15.75" customHeight="1">
      <c r="B8" s="10" t="inlineStr">
        <is>
          <t>May-24</t>
        </is>
      </c>
      <c r="C8" s="14">
        <f>D7</f>
        <v/>
      </c>
      <c r="D8" s="12" t="n">
        <v>10876512.59</v>
      </c>
      <c r="E8" s="13">
        <f>IF(D8="","",IF(C8=0,"",(D8-C8)/C8))</f>
        <v/>
      </c>
      <c r="F8" s="13">
        <f>IF(D8="","",(D8-$C$4)/$C$4)</f>
        <v/>
      </c>
      <c r="G8" s="13">
        <f>IF(D8="","",(D8/$C$4)^(12/5)-1)</f>
        <v/>
      </c>
      <c r="H8" s="14">
        <f>IF(D8="","",D8-C8)</f>
        <v/>
      </c>
      <c r="I8" s="13">
        <f>IF(D8="","",IF(J8=0,"",(D8-J8)/J8))</f>
        <v/>
      </c>
      <c r="J8" s="14">
        <f>IF(D8="","",MAX(D8,J7))</f>
        <v/>
      </c>
      <c r="K8" s="15" t="n"/>
      <c r="L8" s="29" t="n">
        <v>0.048021</v>
      </c>
      <c r="M8" s="29">
        <f>IF(OR(D8="",L8=""),"",E8-L8)</f>
        <v/>
      </c>
      <c r="N8">
        <f>IF(D8="","",IF(I8&lt;0,N7+1,0))</f>
        <v/>
      </c>
    </row>
    <row r="9" ht="15.75" customHeight="1">
      <c r="B9" s="10" t="inlineStr">
        <is>
          <t>Jun-24</t>
        </is>
      </c>
      <c r="C9" s="14">
        <f>D8</f>
        <v/>
      </c>
      <c r="D9" s="12" t="n">
        <v>11055710.61</v>
      </c>
      <c r="E9" s="13">
        <f>IF(D9="","",IF(C9=0,"",(D9-C9)/C9))</f>
        <v/>
      </c>
      <c r="F9" s="13">
        <f>IF(D9="","",(D9-$C$4)/$C$4)</f>
        <v/>
      </c>
      <c r="G9" s="13">
        <f>IF(D9="","",(D9/$C$4)^(12/6)-1)</f>
        <v/>
      </c>
      <c r="H9" s="14">
        <f>IF(D9="","",D9-C9)</f>
        <v/>
      </c>
      <c r="I9" s="13">
        <f>IF(D9="","",IF(J9=0,"",(D9-J9)/J9))</f>
        <v/>
      </c>
      <c r="J9" s="14">
        <f>IF(D9="","",MAX(D9,J8))</f>
        <v/>
      </c>
      <c r="K9" s="15" t="n"/>
      <c r="L9" s="29" t="n">
        <v>0.03467</v>
      </c>
      <c r="M9" s="29">
        <f>IF(OR(D9="",L9=""),"",E9-L9)</f>
        <v/>
      </c>
      <c r="N9">
        <f>IF(D9="","",IF(I9&lt;0,N8+1,0))</f>
        <v/>
      </c>
    </row>
    <row r="10" ht="15.75" customHeight="1">
      <c r="B10" s="10" t="inlineStr">
        <is>
          <t>Jul-24</t>
        </is>
      </c>
      <c r="C10" s="14">
        <f>D9</f>
        <v/>
      </c>
      <c r="D10" s="12" t="n">
        <v>11311409.38</v>
      </c>
      <c r="E10" s="13">
        <f>IF(D10="","",IF(C10=0,"",(D10-C10)/C10))</f>
        <v/>
      </c>
      <c r="F10" s="13">
        <f>IF(D10="","",(D10-$C$4)/$C$4)</f>
        <v/>
      </c>
      <c r="G10" s="13">
        <f>IF(D10="","",(D10/$C$4)^(12/7)-1)</f>
        <v/>
      </c>
      <c r="H10" s="14">
        <f>IF(D10="","",D10-C10)</f>
        <v/>
      </c>
      <c r="I10" s="13">
        <f>IF(D10="","",IF(J10=0,"",(D10-J10)/J10))</f>
        <v/>
      </c>
      <c r="J10" s="14">
        <f>IF(D10="","",MAX(D10,J9))</f>
        <v/>
      </c>
      <c r="K10" s="15" t="n"/>
      <c r="L10" s="29" t="n">
        <v>0.011321</v>
      </c>
      <c r="M10" s="29">
        <f>IF(OR(D10="",L10=""),"",E10-L10)</f>
        <v/>
      </c>
      <c r="N10">
        <f>IF(D10="","",IF(I10&lt;0,N9+1,0))</f>
        <v/>
      </c>
    </row>
    <row r="11" ht="15.75" customHeight="1">
      <c r="B11" s="10" t="inlineStr">
        <is>
          <t>Aug-24</t>
        </is>
      </c>
      <c r="C11" s="14">
        <f>D10</f>
        <v/>
      </c>
      <c r="D11" s="12" t="n">
        <v>11551238.57</v>
      </c>
      <c r="E11" s="13">
        <f>IF(D11="","",IF(C11=0,"",(D11-C11)/C11))</f>
        <v/>
      </c>
      <c r="F11" s="13">
        <f>IF(D11="","",(D11-$C$4)/$C$4)</f>
        <v/>
      </c>
      <c r="G11" s="13">
        <f>IF(D11="","",(D11/$C$4)^(12/8)-1)</f>
        <v/>
      </c>
      <c r="H11" s="14">
        <f>IF(D11="","",D11-C11)</f>
        <v/>
      </c>
      <c r="I11" s="13">
        <f>IF(D11="","",IF(J11=0,"",(D11-J11)/J11))</f>
        <v/>
      </c>
      <c r="J11" s="14">
        <f>IF(D11="","",MAX(D11,J10))</f>
        <v/>
      </c>
      <c r="K11" s="15" t="n"/>
      <c r="L11" s="29" t="n">
        <v>0.022835</v>
      </c>
      <c r="M11" s="29">
        <f>IF(OR(D11="",L11=""),"",E11-L11)</f>
        <v/>
      </c>
      <c r="N11">
        <f>IF(D11="","",IF(I11&lt;0,N10+1,0))</f>
        <v/>
      </c>
    </row>
    <row r="12" ht="15.75" customHeight="1">
      <c r="B12" s="10" t="inlineStr">
        <is>
          <t>Sep-24</t>
        </is>
      </c>
      <c r="C12" s="14">
        <f>D11</f>
        <v/>
      </c>
      <c r="D12" s="12" t="n">
        <v>11779810.6</v>
      </c>
      <c r="E12" s="13">
        <f>IF(D12="","",IF(C12=0,"",(D12-C12)/C12))</f>
        <v/>
      </c>
      <c r="F12" s="13">
        <f>IF(D12="","",(D12-$C$4)/$C$4)</f>
        <v/>
      </c>
      <c r="G12" s="13">
        <f>IF(D12="","",(D12/$C$4)^(12/9)-1)</f>
        <v/>
      </c>
      <c r="H12" s="14">
        <f>IF(D12="","",D12-C12)</f>
        <v/>
      </c>
      <c r="I12" s="13">
        <f>IF(D12="","",IF(J12=0,"",(D12-J12)/J12))</f>
        <v/>
      </c>
      <c r="J12" s="14">
        <f>IF(D12="","",MAX(D12,J11))</f>
        <v/>
      </c>
      <c r="K12" s="15" t="n"/>
      <c r="L12" s="29" t="n">
        <v>0.020197</v>
      </c>
      <c r="M12" s="29">
        <f>IF(OR(D12="",L12=""),"",E12-L12)</f>
        <v/>
      </c>
      <c r="N12">
        <f>IF(D12="","",IF(I12&lt;0,N11+1,0))</f>
        <v/>
      </c>
    </row>
    <row r="13" ht="15.75" customHeight="1">
      <c r="B13" s="10" t="inlineStr">
        <is>
          <t>Oct-24</t>
        </is>
      </c>
      <c r="C13" s="14">
        <f>D12</f>
        <v/>
      </c>
      <c r="D13" s="12" t="n">
        <v>11735186.83</v>
      </c>
      <c r="E13" s="13">
        <f>IF(D13="","",IF(C13=0,"",(D13-C13)/C13))</f>
        <v/>
      </c>
      <c r="F13" s="13">
        <f>IF(D13="","",(D13-$C$4)/$C$4)</f>
        <v/>
      </c>
      <c r="G13" s="13">
        <f>IF(D13="","",(D13/$C$4)^(12/10)-1)</f>
        <v/>
      </c>
      <c r="H13" s="14">
        <f>IF(D13="","",D13-C13)</f>
        <v/>
      </c>
      <c r="I13" s="13">
        <f>IF(D13="","",IF(J13=0,"",(D13-J13)/J13))</f>
        <v/>
      </c>
      <c r="J13" s="14">
        <f>IF(D13="","",MAX(D13,J12))</f>
        <v/>
      </c>
      <c r="K13" s="15" t="n"/>
      <c r="L13" s="29" t="n">
        <v>-0.009897</v>
      </c>
      <c r="M13" s="29">
        <f>IF(OR(D13="",L13=""),"",E13-L13)</f>
        <v/>
      </c>
      <c r="N13">
        <f>IF(D13="","",IF(I13&lt;0,N12+1,0))</f>
        <v/>
      </c>
    </row>
    <row r="14" ht="15.75" customHeight="1">
      <c r="B14" s="10" t="inlineStr">
        <is>
          <t>Nov-24</t>
        </is>
      </c>
      <c r="C14" s="14">
        <f>D13</f>
        <v/>
      </c>
      <c r="D14" s="12" t="n">
        <v>12071891.32</v>
      </c>
      <c r="E14" s="13">
        <f>IF(D14="","",IF(C14=0,"",(D14-C14)/C14))</f>
        <v/>
      </c>
      <c r="F14" s="13">
        <f>IF(D14="","",(D14-$C$4)/$C$4)</f>
        <v/>
      </c>
      <c r="G14" s="13">
        <f>IF(D14="","",(D14/$C$4)^(12/11)-1)</f>
        <v/>
      </c>
      <c r="H14" s="14">
        <f>IF(D14="","",D14-C14)</f>
        <v/>
      </c>
      <c r="I14" s="13">
        <f>IF(D14="","",IF(J14=0,"",(D14-J14)/J14))</f>
        <v/>
      </c>
      <c r="J14" s="14">
        <f>IF(D14="","",MAX(D14,J13))</f>
        <v/>
      </c>
      <c r="K14" s="15" t="n"/>
      <c r="L14" s="29" t="n">
        <v>0.057301</v>
      </c>
      <c r="M14" s="29">
        <f>IF(OR(D14="",L14=""),"",E14-L14)</f>
        <v/>
      </c>
      <c r="N14">
        <f>IF(D14="","",IF(I14&lt;0,N13+1,0))</f>
        <v/>
      </c>
    </row>
    <row r="15" ht="15.75" customHeight="1">
      <c r="B15" s="10" t="inlineStr">
        <is>
          <t>Dec-24</t>
        </is>
      </c>
      <c r="C15" s="14">
        <f>D14</f>
        <v/>
      </c>
      <c r="D15" s="12" t="n">
        <v>11853504.84</v>
      </c>
      <c r="E15" s="13">
        <f>IF(D15="","",IF(C15=0,"",(D15-C15)/C15))</f>
        <v/>
      </c>
      <c r="F15" s="13">
        <f>IF(D15="","",(D15-$C$4)/$C$4)</f>
        <v/>
      </c>
      <c r="G15" s="13">
        <f>IF(D15="","",(D15/$C$4)^(12/12)-1)</f>
        <v/>
      </c>
      <c r="H15" s="14">
        <f>IF(D15="","",D15-C15)</f>
        <v/>
      </c>
      <c r="I15" s="13">
        <f>IF(D15="","",IF(J15=0,"",(D15-J15)/J15))</f>
        <v/>
      </c>
      <c r="J15" s="14">
        <f>IF(D15="","",MAX(D15,J14))</f>
        <v/>
      </c>
      <c r="K15" s="15" t="n"/>
      <c r="L15" s="29" t="n">
        <v>-0.02499</v>
      </c>
      <c r="M15" s="29">
        <f>IF(OR(D15="",L15=""),"",E15-L15)</f>
        <v/>
      </c>
      <c r="N15">
        <f>IF(D15="","",IF(I15&lt;0,N14+1,0))</f>
        <v/>
      </c>
    </row>
    <row r="16" ht="15.75" customHeight="1">
      <c r="B16" s="10" t="inlineStr">
        <is>
          <t>Jan-25</t>
        </is>
      </c>
      <c r="C16" s="14">
        <f>D15</f>
        <v/>
      </c>
      <c r="D16" s="12" t="n">
        <v>12208338.83</v>
      </c>
      <c r="E16" s="13">
        <f>IF(D16="","",IF(C16=0,"",(D16-C16)/C16))</f>
        <v/>
      </c>
      <c r="F16" s="13">
        <f>IF(D16="","",(D16-$C$4)/$C$4)</f>
        <v/>
      </c>
      <c r="G16" s="13">
        <f>IF(D16="","",(D16/$C$4)^(12/13)-1)</f>
        <v/>
      </c>
      <c r="H16" s="14">
        <f>IF(D16="","",D16-C16)</f>
        <v/>
      </c>
      <c r="I16" s="13">
        <f>IF(D16="","",IF(J16=0,"",(D16-J16)/J16))</f>
        <v/>
      </c>
      <c r="J16" s="14">
        <f>IF(D16="","",MAX(D16,J15))</f>
        <v/>
      </c>
      <c r="K16" s="15" t="n"/>
      <c r="L16" s="29" t="n">
        <v>0.027016</v>
      </c>
      <c r="M16" s="29">
        <f>IF(OR(D16="",L16=""),"",E16-L16)</f>
        <v/>
      </c>
      <c r="N16">
        <f>IF(D16="","",IF(I16&lt;0,N15+1,0))</f>
        <v/>
      </c>
    </row>
    <row r="17" ht="15.75" customHeight="1">
      <c r="B17" s="10" t="inlineStr">
        <is>
          <t>Feb-25</t>
        </is>
      </c>
      <c r="C17" s="14">
        <f>D16</f>
        <v/>
      </c>
      <c r="D17" s="12" t="n">
        <v>12130137.89</v>
      </c>
      <c r="E17" s="13">
        <f>IF(D17="","",IF(C17=0,"",(D17-C17)/C17))</f>
        <v/>
      </c>
      <c r="F17" s="13">
        <f>IF(D17="","",(D17-$C$4)/$C$4)</f>
        <v/>
      </c>
      <c r="G17" s="13">
        <f>IF(D17="","",(D17/$C$4)^(12/14)-1)</f>
        <v/>
      </c>
      <c r="H17" s="14">
        <f>IF(D17="","",D17-C17)</f>
        <v/>
      </c>
      <c r="I17" s="13">
        <f>IF(D17="","",IF(J17=0,"",(D17-J17)/J17))</f>
        <v/>
      </c>
      <c r="J17" s="14">
        <f>IF(D17="","",MAX(D17,J16))</f>
        <v/>
      </c>
      <c r="K17" s="15" t="n"/>
      <c r="L17" s="29" t="n">
        <v>-0.014242</v>
      </c>
      <c r="M17" s="29">
        <f>IF(OR(D17="",L17=""),"",E17-L17)</f>
        <v/>
      </c>
      <c r="N17">
        <f>IF(D17="","",IF(I17&lt;0,N16+1,0))</f>
        <v/>
      </c>
    </row>
    <row r="18" ht="15.75" customHeight="1">
      <c r="B18" s="10" t="inlineStr">
        <is>
          <t>Mar-25</t>
        </is>
      </c>
      <c r="C18" s="14">
        <f>D17</f>
        <v/>
      </c>
      <c r="D18" s="12" t="n">
        <v>11724473.35</v>
      </c>
      <c r="E18" s="13">
        <f>IF(D18="","",IF(C18=0,"",(D18-C18)/C18))</f>
        <v/>
      </c>
      <c r="F18" s="13">
        <f>IF(D18="","",(D18-$C$4)/$C$4)</f>
        <v/>
      </c>
      <c r="G18" s="13">
        <f>IF(D18="","",(D18/$C$4)^(12/15)-1)</f>
        <v/>
      </c>
      <c r="H18" s="14">
        <f>IF(D18="","",D18-C18)</f>
        <v/>
      </c>
      <c r="I18" s="13">
        <f>IF(D18="","",IF(J18=0,"",(D18-J18)/J18))</f>
        <v/>
      </c>
      <c r="J18" s="14">
        <f>IF(D18="","",MAX(D18,J17))</f>
        <v/>
      </c>
      <c r="K18" s="15" t="n"/>
      <c r="L18" s="29" t="n">
        <v>-0.057545</v>
      </c>
      <c r="M18" s="29">
        <f>IF(OR(D18="",L18=""),"",E18-L18)</f>
        <v/>
      </c>
      <c r="N18">
        <f>IF(D18="","",IF(I18&lt;0,N17+1,0))</f>
        <v/>
      </c>
    </row>
    <row r="19" ht="15.75" customHeight="1">
      <c r="B19" s="10" t="inlineStr">
        <is>
          <t>Apr-25</t>
        </is>
      </c>
      <c r="C19" s="14">
        <f>D18</f>
        <v/>
      </c>
      <c r="D19" s="12" t="n">
        <v>11711192.82</v>
      </c>
      <c r="E19" s="13">
        <f>IF(D19="","",IF(C19=0,"",(D19-C19)/C19))</f>
        <v/>
      </c>
      <c r="F19" s="13">
        <f>IF(D19="","",(D19-$C$4)/$C$4)</f>
        <v/>
      </c>
      <c r="G19" s="13">
        <f>IF(D19="","",(D19/$C$4)^(12/16)-1)</f>
        <v/>
      </c>
      <c r="H19" s="14">
        <f>IF(D19="","",D19-C19)</f>
        <v/>
      </c>
      <c r="I19" s="13">
        <f>IF(D19="","",IF(J19=0,"",(D19-J19)/J19))</f>
        <v/>
      </c>
      <c r="J19" s="14">
        <f>IF(D19="","",MAX(D19,J18))</f>
        <v/>
      </c>
      <c r="K19" s="15" t="n"/>
      <c r="L19" s="29" t="n">
        <v>-0.007625</v>
      </c>
      <c r="M19" s="29">
        <f>IF(OR(D19="",L19=""),"",E19-L19)</f>
        <v/>
      </c>
      <c r="N19">
        <f>IF(D19="","",IF(I19&lt;0,N18+1,0))</f>
        <v/>
      </c>
    </row>
    <row r="20" ht="15.75" customHeight="1">
      <c r="B20" s="10" t="inlineStr">
        <is>
          <t>May-25</t>
        </is>
      </c>
      <c r="C20" s="14">
        <f>D19</f>
        <v/>
      </c>
      <c r="D20" s="12" t="n">
        <v>12447562.19</v>
      </c>
      <c r="E20" s="13">
        <f>IF(D20="","",IF(C20=0,"",(D20-C20)/C20))</f>
        <v/>
      </c>
      <c r="F20" s="13">
        <f>IF(D20="","",(D20-$C$4)/$C$4)</f>
        <v/>
      </c>
      <c r="G20" s="13">
        <f>IF(D20="","",(D20/$C$4)^(12/17)-1)</f>
        <v/>
      </c>
      <c r="H20" s="14">
        <f>IF(D20="","",D20-C20)</f>
        <v/>
      </c>
      <c r="I20" s="13">
        <f>IF(D20="","",IF(J20=0,"",(D20-J20)/J20))</f>
        <v/>
      </c>
      <c r="J20" s="14">
        <f>IF(D20="","",MAX(D20,J19))</f>
        <v/>
      </c>
      <c r="K20" s="15" t="n"/>
      <c r="L20" s="29" t="n">
        <v>0.061524</v>
      </c>
      <c r="M20" s="29">
        <f>IF(OR(D20="",L20=""),"",E20-L20)</f>
        <v/>
      </c>
      <c r="N20">
        <f>IF(D20="","",IF(I20&lt;0,N19+1,0))</f>
        <v/>
      </c>
    </row>
    <row r="21" ht="15.75" customHeight="1">
      <c r="B21" s="10" t="inlineStr">
        <is>
          <t>Jun-25</t>
        </is>
      </c>
      <c r="C21" s="14">
        <f>D20</f>
        <v/>
      </c>
      <c r="D21" s="12" t="n">
        <v>12834213.25</v>
      </c>
      <c r="E21" s="13">
        <f>IF(D21="","",IF(C21=0,"",(D21-C21)/C21))</f>
        <v/>
      </c>
      <c r="F21" s="13">
        <f>IF(D21="","",(D21-$C$4)/$C$4)</f>
        <v/>
      </c>
      <c r="G21" s="13">
        <f>IF(D21="","",(D21/$C$4)^(12/18)-1)</f>
        <v/>
      </c>
      <c r="H21" s="14">
        <f>IF(D21="","",D21-C21)</f>
        <v/>
      </c>
      <c r="I21" s="13">
        <f>IF(D21="","",IF(J21=0,"",(D21-J21)/J21))</f>
        <v/>
      </c>
      <c r="J21" s="14">
        <f>IF(D21="","",MAX(D21,J20))</f>
        <v/>
      </c>
      <c r="K21" s="15" t="n"/>
      <c r="L21" s="29" t="n">
        <v>0.049607</v>
      </c>
      <c r="M21" s="29">
        <f>IF(OR(D21="",L21=""),"",E21-L21)</f>
        <v/>
      </c>
      <c r="N21">
        <f>IF(D21="","",IF(I21&lt;0,N20+1,0))</f>
        <v/>
      </c>
    </row>
    <row r="22" ht="15.75" customHeight="1">
      <c r="B22" s="10" t="inlineStr">
        <is>
          <t>Jul-25</t>
        </is>
      </c>
      <c r="C22" s="14">
        <f>D21</f>
        <v/>
      </c>
      <c r="D22" s="12" t="n">
        <v>12719647.99</v>
      </c>
      <c r="E22" s="13">
        <f>IF(D22="","",IF(C22=0,"",(D22-C22)/C22))</f>
        <v/>
      </c>
      <c r="F22" s="13">
        <f>IF(D22="","",(D22-$C$4)/$C$4)</f>
        <v/>
      </c>
      <c r="G22" s="13">
        <f>IF(D22="","",(D22/$C$4)^(12/19)-1)</f>
        <v/>
      </c>
      <c r="H22" s="14">
        <f>IF(D22="","",D22-C22)</f>
        <v/>
      </c>
      <c r="I22" s="13">
        <f>IF(D22="","",IF(J22=0,"",(D22-J22)/J22))</f>
        <v/>
      </c>
      <c r="J22" s="14">
        <f>IF(D22="","",MAX(D22,J21))</f>
        <v/>
      </c>
      <c r="K22" s="15" t="n"/>
      <c r="L22" s="29" t="n">
        <v>0.021667</v>
      </c>
      <c r="M22" s="29">
        <f>IF(OR(D22="",L22=""),"",E22-L22)</f>
        <v/>
      </c>
      <c r="N22">
        <f>IF(D22="","",IF(I22&lt;0,N21+1,0))</f>
        <v/>
      </c>
    </row>
    <row r="23" ht="15.75" customHeight="1">
      <c r="B23" s="10" t="inlineStr">
        <is>
          <t>Aug-25</t>
        </is>
      </c>
      <c r="C23" s="14">
        <f>D22</f>
        <v/>
      </c>
      <c r="D23" s="12" t="n">
        <v>13085014.98</v>
      </c>
      <c r="E23" s="13">
        <f>IF(D23="","",IF(C23=0,"",(D23-C23)/C23))</f>
        <v/>
      </c>
      <c r="F23" s="13">
        <f>IF(D23="","",(D23-$C$4)/$C$4)</f>
        <v/>
      </c>
      <c r="G23" s="13">
        <f>IF(D23="","",(D23/$C$4)^(12/20)-1)</f>
        <v/>
      </c>
      <c r="H23" s="14">
        <f>IF(D23="","",D23-C23)</f>
        <v/>
      </c>
      <c r="I23" s="13">
        <f>IF(D23="","",IF(J23=0,"",(D23-J23)/J23))</f>
        <v/>
      </c>
      <c r="J23" s="14">
        <f>IF(D23="","",MAX(D23,J22))</f>
        <v/>
      </c>
      <c r="K23" s="15" t="n"/>
      <c r="L23" s="29" t="n">
        <v>0.019066</v>
      </c>
      <c r="M23" s="29">
        <f>IF(OR(D23="",L23=""),"",E23-L23)</f>
        <v/>
      </c>
      <c r="N23">
        <f>IF(D23="","",IF(I23&lt;0,N22+1,0))</f>
        <v/>
      </c>
    </row>
    <row r="24" ht="15.75" customHeight="1">
      <c r="B24" s="10" t="inlineStr">
        <is>
          <t>Sep-25</t>
        </is>
      </c>
      <c r="C24" s="14">
        <f>D23</f>
        <v/>
      </c>
      <c r="D24" s="12" t="n">
        <v>13305023.86</v>
      </c>
      <c r="E24" s="13">
        <f>IF(D24="","",IF(C24=0,"",(D24-C24)/C24))</f>
        <v/>
      </c>
      <c r="F24" s="13">
        <f>IF(D24="","",(D24-$C$4)/$C$4)</f>
        <v/>
      </c>
      <c r="G24" s="13">
        <f>IF(D24="","",(D24/$C$4)^(12/21)-1)</f>
        <v/>
      </c>
      <c r="H24" s="14">
        <f>IF(D24="","",D24-C24)</f>
        <v/>
      </c>
      <c r="I24" s="13">
        <f>IF(D24="","",IF(J24=0,"",(D24-J24)/J24))</f>
        <v/>
      </c>
      <c r="J24" s="14">
        <f>IF(D24="","",MAX(D24,J23))</f>
        <v/>
      </c>
      <c r="K24" s="15" t="n"/>
      <c r="L24" s="29" t="n">
        <v>0.035324</v>
      </c>
      <c r="M24" s="29">
        <f>IF(OR(D24="",L24=""),"",E24-L24)</f>
        <v/>
      </c>
      <c r="N24">
        <f>IF(D24="","",IF(I24&lt;0,N23+1,0))</f>
        <v/>
      </c>
    </row>
    <row r="25" ht="15.75" customHeight="1">
      <c r="B25" s="10" t="inlineStr">
        <is>
          <t>Oct-25</t>
        </is>
      </c>
      <c r="C25" s="14">
        <f>D24</f>
        <v/>
      </c>
      <c r="D25" s="12" t="n">
        <v>13498926.12</v>
      </c>
      <c r="E25" s="13">
        <f>IF(D25="","",IF(C25=0,"",(D25-C25)/C25))</f>
        <v/>
      </c>
      <c r="F25" s="13">
        <f>IF(D25="","",(D25-$C$4)/$C$4)</f>
        <v/>
      </c>
      <c r="G25" s="13">
        <f>IF(D25="","",(D25/$C$4)^(12/22)-1)</f>
        <v/>
      </c>
      <c r="H25" s="14">
        <f>IF(D25="","",D25-C25)</f>
        <v/>
      </c>
      <c r="I25" s="13">
        <f>IF(D25="","",IF(J25=0,"",(D25-J25)/J25))</f>
        <v/>
      </c>
      <c r="J25" s="14">
        <f>IF(D25="","",MAX(D25,J24))</f>
        <v/>
      </c>
      <c r="K25" s="15" t="n"/>
      <c r="L25" s="29" t="n">
        <v>0.022687</v>
      </c>
      <c r="M25" s="29">
        <f>IF(OR(D25="",L25=""),"",E25-L25)</f>
        <v/>
      </c>
      <c r="N25">
        <f>IF(D25="","",IF(I25&lt;0,N24+1,0))</f>
        <v/>
      </c>
    </row>
    <row r="26" ht="15.75" customHeight="1">
      <c r="B26" s="10" t="inlineStr">
        <is>
          <t>Nov-25</t>
        </is>
      </c>
      <c r="C26" s="14">
        <f>D25</f>
        <v/>
      </c>
      <c r="D26" s="12" t="n">
        <v>13681077.27</v>
      </c>
      <c r="E26" s="13">
        <f>IF(D26="","",IF(C26=0,"",(D26-C26)/C26))</f>
        <v/>
      </c>
      <c r="F26" s="13">
        <f>IF(D26="","",(D26-$C$4)/$C$4)</f>
        <v/>
      </c>
      <c r="G26" s="13">
        <f>IF(D26="","",(D26/$C$4)^(12/23)-1)</f>
        <v/>
      </c>
      <c r="H26" s="14">
        <f>IF(D26="","",D26-C26)</f>
        <v/>
      </c>
      <c r="I26" s="13">
        <f>IF(D26="","",IF(J26=0,"",(D26-J26)/J26))</f>
        <v/>
      </c>
      <c r="J26" s="14">
        <f>IF(D26="","",MAX(D26,J25))</f>
        <v/>
      </c>
      <c r="K26" s="15" t="n"/>
      <c r="L26" s="29" t="n">
        <v>0.0013</v>
      </c>
      <c r="M26" s="29">
        <f>IF(OR(D26="",L26=""),"",E26-L26)</f>
        <v/>
      </c>
      <c r="N26">
        <f>IF(D26="","",IF(I26&lt;0,N25+1,0))</f>
        <v/>
      </c>
    </row>
    <row r="27" ht="15.75" customHeight="1">
      <c r="B27" s="10" t="inlineStr">
        <is>
          <t>Dec-25</t>
        </is>
      </c>
      <c r="C27" s="14">
        <f>D26</f>
        <v/>
      </c>
      <c r="D27" s="12" t="n">
        <v>13724277.92</v>
      </c>
      <c r="E27" s="13">
        <f>IF(D27="","",IF(C27=0,"",(D27-C27)/C27))</f>
        <v/>
      </c>
      <c r="F27" s="13">
        <f>IF(D27="","",(D27-$C$4)/$C$4)</f>
        <v/>
      </c>
      <c r="G27" s="13">
        <f>IF(D27="","",(D27/$C$4)^(12/24)-1)</f>
        <v/>
      </c>
      <c r="H27" s="14">
        <f>IF(D27="","",D27-C27)</f>
        <v/>
      </c>
      <c r="I27" s="13">
        <f>IF(D27="","",IF(J27=0,"",(D27-J27)/J27))</f>
        <v/>
      </c>
      <c r="J27" s="14">
        <f>IF(D27="","",MAX(D27,J26))</f>
        <v/>
      </c>
      <c r="K27" s="15" t="n"/>
      <c r="L27" s="29" t="n">
        <v>-0.0005240000000000001</v>
      </c>
      <c r="M27" s="29">
        <f>IF(OR(D27="",L27=""),"",E27-L27)</f>
        <v/>
      </c>
      <c r="N27">
        <f>IF(D27="","",IF(I27&lt;0,N26+1,0))</f>
        <v/>
      </c>
    </row>
    <row r="28" ht="15.75" customHeight="1">
      <c r="B28" s="10" t="inlineStr">
        <is>
          <t>Jan-26</t>
        </is>
      </c>
      <c r="C28" s="14">
        <f>D27</f>
        <v/>
      </c>
      <c r="D28" s="12" t="n">
        <v>13728851.67</v>
      </c>
      <c r="E28" s="13">
        <f>IF(D28="","",IF(C28=0,"",(D28-C28)/C28))</f>
        <v/>
      </c>
      <c r="F28" s="13">
        <f>IF(D28="","",(D28-$C$4)/$C$4)</f>
        <v/>
      </c>
      <c r="G28" s="13">
        <f>IF(D28="","",(D28/$C$4)^(12/25)-1)</f>
        <v/>
      </c>
      <c r="H28" s="14">
        <f>IF(D28="","",D28-C28)</f>
        <v/>
      </c>
      <c r="I28" s="13">
        <f>IF(D28="","",IF(J28=0,"",(D28-J28)/J28))</f>
        <v/>
      </c>
      <c r="J28" s="14">
        <f>IF(D28="","",MAX(D28,J27))</f>
        <v/>
      </c>
      <c r="K28" s="15" t="n"/>
      <c r="L28" s="29" t="n">
        <v>0.013663</v>
      </c>
      <c r="M28" s="29">
        <f>IF(OR(D28="",L28=""),"",E28-L28)</f>
        <v/>
      </c>
      <c r="N28">
        <f>IF(D28="","",IF(I28&lt;0,N27+1,0))</f>
        <v/>
      </c>
    </row>
    <row r="29" ht="15.75" customHeight="1">
      <c r="B29" s="10" t="inlineStr">
        <is>
          <t>Feb-26</t>
        </is>
      </c>
      <c r="C29" s="14">
        <f>D28</f>
        <v/>
      </c>
      <c r="D29" s="12" t="n">
        <v>13594084.32</v>
      </c>
      <c r="E29" s="13">
        <f>IF(D29="","",IF(C29=0,"",(D29-C29)/C29))</f>
        <v/>
      </c>
      <c r="F29" s="13">
        <f>IF(D29="","",(D29-$C$4)/$C$4)</f>
        <v/>
      </c>
      <c r="G29" s="13">
        <f>IF(D29="","",(D29/$C$4)^(12/26)-1)</f>
        <v/>
      </c>
      <c r="H29" s="14">
        <f>IF(D29="","",D29-C29)</f>
        <v/>
      </c>
      <c r="I29" s="13">
        <f>IF(D29="","",IF(J29=0,"",(D29-J29)/J29))</f>
        <v/>
      </c>
      <c r="J29" s="14">
        <f>IF(D29="","",MAX(D29,J28))</f>
        <v/>
      </c>
      <c r="K29" s="15" t="n"/>
      <c r="L29" s="29" t="n">
        <v>-0.008668</v>
      </c>
      <c r="M29" s="29">
        <f>IF(OR(D29="",L29=""),"",E29-L29)</f>
        <v/>
      </c>
      <c r="N29">
        <f>IF(D29="","",IF(I29&lt;0,N28+1,0))</f>
        <v/>
      </c>
    </row>
    <row r="30" ht="15.75" customHeight="1">
      <c r="B30" s="10" t="inlineStr">
        <is>
          <t>Mar-26</t>
        </is>
      </c>
      <c r="C30" s="14">
        <f>D29</f>
        <v/>
      </c>
      <c r="D30" s="12" t="n">
        <v>12972501.86</v>
      </c>
      <c r="E30" s="13">
        <f>IF(D30="","",IF(C30=0,"",(D30-C30)/C30))</f>
        <v/>
      </c>
      <c r="F30" s="13">
        <f>IF(D30="","",(D30-$C$4)/$C$4)</f>
        <v/>
      </c>
      <c r="G30" s="13">
        <f>IF(D30="","",(D30/$C$4)^(12/27)-1)</f>
        <v/>
      </c>
      <c r="H30" s="14">
        <f>IF(D30="","",D30-C30)</f>
        <v/>
      </c>
      <c r="I30" s="13">
        <f>IF(D30="","",IF(J30=0,"",(D30-J30)/J30))</f>
        <v/>
      </c>
      <c r="J30" s="14">
        <f>IF(D30="","",MAX(D30,J29))</f>
        <v/>
      </c>
      <c r="K30" s="15" t="n"/>
      <c r="L30" s="29" t="n">
        <v>-0.050933</v>
      </c>
      <c r="M30" s="29">
        <f>IF(OR(D30="",L30=""),"",E30-L30)</f>
        <v/>
      </c>
      <c r="N30">
        <f>IF(D30="","",IF(I30&lt;0,N29+1,0))</f>
        <v/>
      </c>
    </row>
    <row r="31" ht="15.75" customHeight="1">
      <c r="B31" s="10" t="inlineStr">
        <is>
          <t>Apr-26</t>
        </is>
      </c>
      <c r="C31" s="14">
        <f>D30</f>
        <v/>
      </c>
      <c r="D31" s="12" t="n">
        <v>13584084.72</v>
      </c>
      <c r="E31" s="13">
        <f>IF(D31="","",IF(C31=0,"",(D31-C31)/C31))</f>
        <v/>
      </c>
      <c r="F31" s="13">
        <f>IF(D31="","",(D31-$C$4)/$C$4)</f>
        <v/>
      </c>
      <c r="G31" s="13">
        <f>IF(D31="","",(D31/$C$4)^(12/28)-1)</f>
        <v/>
      </c>
      <c r="H31" s="14">
        <f>IF(D31="","",D31-C31)</f>
        <v/>
      </c>
      <c r="I31" s="13">
        <f>IF(D31="","",IF(J31=0,"",(D31-J31)/J31))</f>
        <v/>
      </c>
      <c r="J31" s="14">
        <f>IF(D31="","",MAX(D31,J30))</f>
        <v/>
      </c>
      <c r="K31" s="15" t="n"/>
      <c r="L31" s="29" t="n">
        <v>0.104233</v>
      </c>
      <c r="M31" s="29">
        <f>IF(OR(D31="",L31=""),"",E31-L31)</f>
        <v/>
      </c>
      <c r="N31">
        <f>IF(D31="","",IF(I31&lt;0,N30+1,0))</f>
        <v/>
      </c>
    </row>
    <row r="32" ht="15.75" customHeight="1">
      <c r="B32" s="10" t="inlineStr">
        <is>
          <t>May-26</t>
        </is>
      </c>
      <c r="C32" s="14">
        <f>D31</f>
        <v/>
      </c>
      <c r="D32" s="12" t="n">
        <v>13914978.81</v>
      </c>
      <c r="E32" s="13">
        <f>IF(D32="","",IF(C32=0,"",(D32-C32)/C32))</f>
        <v/>
      </c>
      <c r="F32" s="13">
        <f>IF(D32="","",(D32-$C$4)/$C$4)</f>
        <v/>
      </c>
      <c r="G32" s="13">
        <f>IF(D32="","",(D32/$C$4)^(12/29)-1)</f>
        <v/>
      </c>
      <c r="H32" s="14">
        <f>IF(D32="","",D32-C32)</f>
        <v/>
      </c>
      <c r="I32" s="13">
        <f>IF(D32="","",IF(J32=0,"",(D32-J32)/J32))</f>
        <v/>
      </c>
      <c r="J32" s="14">
        <f>IF(D32="","",MAX(D32,J31))</f>
        <v/>
      </c>
      <c r="K32" s="15" t="n"/>
      <c r="L32" s="29" t="n">
        <v>0.05147</v>
      </c>
      <c r="M32" s="29">
        <f>IF(OR(D32="",L32=""),"",E32-L32)</f>
        <v/>
      </c>
      <c r="N32">
        <f>IF(D32="","",IF(I32&lt;0,N31+1,0))</f>
        <v/>
      </c>
    </row>
    <row r="33" ht="15.75" customHeight="1">
      <c r="B33" s="10" t="inlineStr">
        <is>
          <t>Jun-26</t>
        </is>
      </c>
      <c r="C33" s="14">
        <f>D32</f>
        <v/>
      </c>
      <c r="D33" s="12" t="n">
        <v>13843837.74</v>
      </c>
      <c r="E33" s="13">
        <f>IF(D33="","",IF(C33=0,"",(D33-C33)/C33))</f>
        <v/>
      </c>
      <c r="F33" s="13">
        <f>IF(D33="","",(D33-$C$4)/$C$4)</f>
        <v/>
      </c>
      <c r="G33" s="13">
        <f>IF(D33="","",(D33/$C$4)^(12/30)-1)</f>
        <v/>
      </c>
      <c r="H33" s="14">
        <f>IF(D33="","",D33-C33)</f>
        <v/>
      </c>
      <c r="I33" s="13">
        <f>IF(D33="","",IF(J33=0,"",(D33-J33)/J33))</f>
        <v/>
      </c>
      <c r="J33" s="14">
        <f>IF(D33="","",MAX(D33,J32))</f>
        <v/>
      </c>
      <c r="K33" s="15" t="n"/>
      <c r="L33" s="29" t="n">
        <v>-0.010485</v>
      </c>
      <c r="M33" s="29">
        <f>IF(OR(D33="",L33=""),"",E33-L33)</f>
        <v/>
      </c>
      <c r="N33">
        <f>IF(D33="","",IF(I33&lt;0,N32+1,0))</f>
        <v/>
      </c>
    </row>
    <row r="34" ht="15.75" customHeight="1">
      <c r="B34" s="10" t="inlineStr">
        <is>
          <t>Jul-26</t>
        </is>
      </c>
      <c r="C34" s="14">
        <f>D33</f>
        <v/>
      </c>
      <c r="D34" s="12" t="n"/>
      <c r="E34" s="13">
        <f>IF(D34="","",IF(C34=0,"",(D34-C34)/C34))</f>
        <v/>
      </c>
      <c r="F34" s="13">
        <f>IF(D34="","",(D34-$C$4)/$C$4)</f>
        <v/>
      </c>
      <c r="G34" s="13">
        <f>IF(D34="","",(D34/$C$4)^(12/31)-1)</f>
        <v/>
      </c>
      <c r="H34" s="14">
        <f>IF(D34="","",D34-C34)</f>
        <v/>
      </c>
      <c r="I34" s="13">
        <f>IF(D34="","",IF(J34=0,"",(D34-J34)/J34))</f>
        <v/>
      </c>
      <c r="J34" s="14">
        <f>IF(D34="","",MAX(D34,J33))</f>
        <v/>
      </c>
      <c r="K34" s="15" t="n"/>
      <c r="M34" s="29">
        <f>IF(OR(D34="",L34=""),"",E34-L34)</f>
        <v/>
      </c>
      <c r="N34">
        <f>IF(D34="","",IF(I34&lt;0,N33+1,0))</f>
        <v/>
      </c>
    </row>
    <row r="35" ht="15.75" customHeight="1">
      <c r="B35" s="10" t="inlineStr">
        <is>
          <t>Aug-26</t>
        </is>
      </c>
      <c r="C35" s="14">
        <f>D34</f>
        <v/>
      </c>
      <c r="D35" s="12" t="n"/>
      <c r="E35" s="13">
        <f>IF(D35="","",IF(C35=0,"",(D35-C35)/C35))</f>
        <v/>
      </c>
      <c r="F35" s="13">
        <f>IF(D35="","",(D35-$C$4)/$C$4)</f>
        <v/>
      </c>
      <c r="G35" s="13">
        <f>IF(D35="","",(D35/$C$4)^(12/32)-1)</f>
        <v/>
      </c>
      <c r="H35" s="14">
        <f>IF(D35="","",D35-C35)</f>
        <v/>
      </c>
      <c r="I35" s="13">
        <f>IF(D35="","",IF(J35=0,"",(D35-J35)/J35))</f>
        <v/>
      </c>
      <c r="J35" s="14">
        <f>IF(D35="","",MAX(D35,J34))</f>
        <v/>
      </c>
      <c r="K35" s="15" t="n"/>
      <c r="M35" s="29">
        <f>IF(OR(D35="",L35=""),"",E35-L35)</f>
        <v/>
      </c>
      <c r="N35">
        <f>IF(D35="","",IF(I35&lt;0,N34+1,0))</f>
        <v/>
      </c>
    </row>
    <row r="36" ht="15.75" customHeight="1">
      <c r="B36" s="10" t="inlineStr">
        <is>
          <t>Sep-26</t>
        </is>
      </c>
      <c r="C36" s="14">
        <f>D35</f>
        <v/>
      </c>
      <c r="D36" s="12" t="n"/>
      <c r="E36" s="13">
        <f>IF(D36="","",IF(C36=0,"",(D36-C36)/C36))</f>
        <v/>
      </c>
      <c r="F36" s="13">
        <f>IF(D36="","",(D36-$C$4)/$C$4)</f>
        <v/>
      </c>
      <c r="G36" s="13">
        <f>IF(D36="","",(D36/$C$4)^(12/33)-1)</f>
        <v/>
      </c>
      <c r="H36" s="14">
        <f>IF(D36="","",D36-C36)</f>
        <v/>
      </c>
      <c r="I36" s="13">
        <f>IF(D36="","",IF(J36=0,"",(D36-J36)/J36))</f>
        <v/>
      </c>
      <c r="J36" s="14">
        <f>IF(D36="","",MAX(D36,J35))</f>
        <v/>
      </c>
      <c r="K36" s="15" t="n"/>
      <c r="M36" s="29">
        <f>IF(OR(D36="",L36=""),"",E36-L36)</f>
        <v/>
      </c>
      <c r="N36">
        <f>IF(D36="","",IF(I36&lt;0,N35+1,0))</f>
        <v/>
      </c>
    </row>
    <row r="37" ht="15.75" customHeight="1">
      <c r="B37" s="10" t="inlineStr">
        <is>
          <t>Oct-26</t>
        </is>
      </c>
      <c r="C37" s="14">
        <f>D36</f>
        <v/>
      </c>
      <c r="D37" s="12" t="n"/>
      <c r="E37" s="13">
        <f>IF(D37="","",IF(C37=0,"",(D37-C37)/C37))</f>
        <v/>
      </c>
      <c r="F37" s="13">
        <f>IF(D37="","",(D37-$C$4)/$C$4)</f>
        <v/>
      </c>
      <c r="G37" s="13">
        <f>IF(D37="","",(D37/$C$4)^(12/34)-1)</f>
        <v/>
      </c>
      <c r="H37" s="14">
        <f>IF(D37="","",D37-C37)</f>
        <v/>
      </c>
      <c r="I37" s="13">
        <f>IF(D37="","",IF(J37=0,"",(D37-J37)/J37))</f>
        <v/>
      </c>
      <c r="J37" s="14">
        <f>IF(D37="","",MAX(D37,J36))</f>
        <v/>
      </c>
      <c r="K37" s="15" t="n"/>
      <c r="M37" s="29">
        <f>IF(OR(D37="",L37=""),"",E37-L37)</f>
        <v/>
      </c>
      <c r="N37">
        <f>IF(D37="","",IF(I37&lt;0,N36+1,0))</f>
        <v/>
      </c>
    </row>
    <row r="38" ht="15.75" customHeight="1">
      <c r="B38" s="10" t="inlineStr">
        <is>
          <t>Nov-26</t>
        </is>
      </c>
      <c r="C38" s="14">
        <f>D37</f>
        <v/>
      </c>
      <c r="D38" s="12" t="n"/>
      <c r="E38" s="13">
        <f>IF(D38="","",IF(C38=0,"",(D38-C38)/C38))</f>
        <v/>
      </c>
      <c r="F38" s="13">
        <f>IF(D38="","",(D38-$C$4)/$C$4)</f>
        <v/>
      </c>
      <c r="G38" s="13">
        <f>IF(D38="","",(D38/$C$4)^(12/35)-1)</f>
        <v/>
      </c>
      <c r="H38" s="14">
        <f>IF(D38="","",D38-C38)</f>
        <v/>
      </c>
      <c r="I38" s="13">
        <f>IF(D38="","",IF(J38=0,"",(D38-J38)/J38))</f>
        <v/>
      </c>
      <c r="J38" s="14">
        <f>IF(D38="","",MAX(D38,J37))</f>
        <v/>
      </c>
      <c r="K38" s="15" t="n"/>
      <c r="M38" s="29">
        <f>IF(OR(D38="",L38=""),"",E38-L38)</f>
        <v/>
      </c>
      <c r="N38">
        <f>IF(D38="","",IF(I38&lt;0,N37+1,0))</f>
        <v/>
      </c>
    </row>
    <row r="39" ht="15.75" customHeight="1">
      <c r="B39" s="10" t="inlineStr">
        <is>
          <t>Dec-26</t>
        </is>
      </c>
      <c r="C39" s="14">
        <f>D38</f>
        <v/>
      </c>
      <c r="D39" s="12" t="n"/>
      <c r="E39" s="13">
        <f>IF(D39="","",IF(C39=0,"",(D39-C39)/C39))</f>
        <v/>
      </c>
      <c r="F39" s="13">
        <f>IF(D39="","",(D39-$C$4)/$C$4)</f>
        <v/>
      </c>
      <c r="G39" s="13">
        <f>IF(D39="","",(D39/$C$4)^(12/36)-1)</f>
        <v/>
      </c>
      <c r="H39" s="14">
        <f>IF(D39="","",D39-C39)</f>
        <v/>
      </c>
      <c r="I39" s="13">
        <f>IF(D39="","",IF(J39=0,"",(D39-J39)/J39))</f>
        <v/>
      </c>
      <c r="J39" s="14">
        <f>IF(D39="","",MAX(D39,J38))</f>
        <v/>
      </c>
      <c r="K39" s="15" t="n"/>
      <c r="M39" s="29">
        <f>IF(OR(D39="",L39=""),"",E39-L39)</f>
        <v/>
      </c>
      <c r="N39">
        <f>IF(D39="","",IF(I39&lt;0,N38+1,0))</f>
        <v/>
      </c>
    </row>
  </sheetData>
  <mergeCells count="2">
    <mergeCell ref="B1:K1"/>
    <mergeCell ref="B2:K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2"/>
  <sheetViews>
    <sheetView zoomScaleNormal="100" workbookViewId="0">
      <selection activeCell="A1" sqref="A1"/>
    </sheetView>
  </sheetViews>
  <sheetFormatPr baseColWidth="10" defaultColWidth="8.6640625" defaultRowHeight="15"/>
  <cols>
    <col width="38" customWidth="1" min="2" max="2"/>
    <col width="22" customWidth="1" min="3" max="3"/>
    <col width="50" customWidth="1" min="4" max="4"/>
  </cols>
  <sheetData>
    <row r="1" ht="27.75" customHeight="1">
      <c r="B1" s="5" t="inlineStr">
        <is>
          <t>MINDWEALTH — PORTFOLIO PERFORMANCE STATISTICS  (auto-calculated — do not edit)</t>
        </is>
      </c>
    </row>
    <row r="2" ht="19.5" customHeight="1">
      <c r="B2" s="3" t="inlineStr">
        <is>
          <t>RETURN METRICS</t>
        </is>
      </c>
    </row>
    <row r="3" ht="21.75" customHeight="1">
      <c r="B3" s="16" t="inlineStr">
        <is>
          <t>Total Months of Data</t>
        </is>
      </c>
      <c r="C3" s="17">
        <f>COUNTA(Monthly_NAV!D4:D39)</f>
        <v/>
      </c>
      <c r="D3" s="18" t="inlineStr">
        <is>
          <t>Count of months with closing NAV populated</t>
        </is>
      </c>
    </row>
    <row r="4" ht="21.75" customHeight="1">
      <c r="B4" s="16" t="inlineStr">
        <is>
          <t>Inception Date (Sharpe-clock start)</t>
        </is>
      </c>
      <c r="C4" s="26" t="n">
        <v>45292</v>
      </c>
      <c r="D4" s="18" t="inlineStr">
        <is>
          <t>First trading day of first active signal</t>
        </is>
      </c>
    </row>
    <row r="5" ht="21.75" customHeight="1">
      <c r="B5" s="16" t="inlineStr">
        <is>
          <t>Annualised Return (CAGR, since inception)</t>
        </is>
      </c>
      <c r="C5" s="30" t="n">
        <v>0.1389</v>
      </c>
      <c r="D5" s="18" t="inlineStr">
        <is>
          <t>Rolling CAGR at latest populated month</t>
        </is>
      </c>
    </row>
    <row r="6" ht="21.75" customHeight="1">
      <c r="B6" s="16" t="inlineStr">
        <is>
          <t>Cumulative Return since Inception</t>
        </is>
      </c>
      <c r="C6" s="17">
        <f>IFERROR(INDEX(Monthly_NAV!F4:F39,COUNTA(Monthly_NAV!D4:D39)),"")</f>
        <v/>
      </c>
      <c r="D6" s="18" t="inlineStr">
        <is>
          <t>Total % gain from start NAV to latest closing NAV</t>
        </is>
      </c>
    </row>
    <row r="7" ht="21.75" customHeight="1">
      <c r="B7" s="16" t="inlineStr">
        <is>
          <t>Best Monthly Return</t>
        </is>
      </c>
      <c r="C7" s="17">
        <f>IFERROR(MAX(Monthly_NAV!E4:E39),"")</f>
        <v/>
      </c>
      <c r="D7" s="18" t="inlineStr">
        <is>
          <t>Highest single month return</t>
        </is>
      </c>
    </row>
    <row r="8" ht="21.75" customHeight="1">
      <c r="B8" s="16" t="inlineStr">
        <is>
          <t>Worst Monthly Return</t>
        </is>
      </c>
      <c r="C8" s="17">
        <f>IFERROR(MIN(Monthly_NAV!E4:E39),"")</f>
        <v/>
      </c>
      <c r="D8" s="18" t="inlineStr">
        <is>
          <t>Worst single month return</t>
        </is>
      </c>
    </row>
    <row r="9" ht="21.75" customHeight="1">
      <c r="B9" s="16" t="inlineStr">
        <is>
          <t>% Positive Months</t>
        </is>
      </c>
      <c r="C9" s="17">
        <f>IFERROR(COUNTIF(Monthly_NAV!E4:E39,"&gt;0")/COUNTA(Monthly_NAV!E4:E39),"")</f>
        <v/>
      </c>
      <c r="D9" s="18" t="inlineStr">
        <is>
          <t>Proportion of months with positive return</t>
        </is>
      </c>
    </row>
    <row r="10" ht="21.75" customHeight="1">
      <c r="B10" s="16" t="inlineStr">
        <is>
          <t>Average Monthly Return</t>
        </is>
      </c>
      <c r="C10" s="17">
        <f>IFERROR(AVERAGEIF(Monthly_NAV!E4:E39,"&lt;&gt;"),"")</f>
        <v/>
      </c>
      <c r="D10" s="18" t="inlineStr">
        <is>
          <t>Simple average of all monthly returns</t>
        </is>
      </c>
    </row>
    <row r="11" ht="7.5" customHeight="1"/>
    <row r="12" ht="19.5" customHeight="1">
      <c r="B12" s="3" t="inlineStr">
        <is>
          <t>RISK METRICS</t>
        </is>
      </c>
    </row>
    <row r="13" ht="21.75" customHeight="1">
      <c r="B13" s="16" t="inlineStr">
        <is>
          <t>Annualised Volatility (monthly returns × √12)</t>
        </is>
      </c>
      <c r="C13" s="17">
        <f>IFERROR(STDEV(Monthly_NAV!E4:E39)*SQRT(12),"")</f>
        <v/>
      </c>
      <c r="D13" s="18" t="inlineStr">
        <is>
          <t>Std dev of monthly returns annualised</t>
        </is>
      </c>
    </row>
    <row r="14" ht="21.75" customHeight="1">
      <c r="B14" s="16" t="inlineStr">
        <is>
          <t>Maximum Drawdown</t>
        </is>
      </c>
      <c r="C14" s="17">
        <f>IFERROR(MIN(Monthly_NAV!I4:I39),"")</f>
        <v/>
      </c>
      <c r="D14" s="18" t="inlineStr">
        <is>
          <t>Largest peak-to-trough decline</t>
        </is>
      </c>
    </row>
    <row r="15" ht="21.75" customHeight="1">
      <c r="B15" s="16" t="inlineStr">
        <is>
          <t>Sharpe Ratio (risk-free = 0%)</t>
        </is>
      </c>
      <c r="C15" s="17">
        <f>IFERROR(AVERAGEIF(Monthly_NAV!E4:E39,"&lt;&gt;")*12/(STDEV(Monthly_NAV!E4:E39)*SQRT(12)),"")</f>
        <v/>
      </c>
      <c r="D15" s="18" t="inlineStr">
        <is>
          <t>Annualised return ÷ annualised vol. Risk-free rate = 0%.</t>
        </is>
      </c>
    </row>
    <row r="16" ht="21.75" customHeight="1">
      <c r="B16" s="16" t="inlineStr">
        <is>
          <t>Information Ratio (vs S&amp;P 500)</t>
        </is>
      </c>
      <c r="C16" s="20">
        <f>IFERROR(AVERAGE(Monthly_NAV!M4:M39)*12/(STDEV(Monthly_NAV!M4:M39)*SQRT(12)),"")</f>
        <v/>
      </c>
      <c r="D16" s="18" t="inlineStr">
        <is>
          <t>Annualised excess return over S&amp;P 500 / tracking error. Net-long book (NOT market-neutral).</t>
        </is>
      </c>
    </row>
    <row r="17" ht="21.75" customHeight="1">
      <c r="B17" s="16" t="inlineStr">
        <is>
          <t>Calmar Ratio (CAGR ÷ Max Drawdown)</t>
        </is>
      </c>
      <c r="C17" s="17">
        <f>IFERROR(INDEX(Monthly_NAV!G4:G39,COUNTA(Monthly_NAV!D4:D39))/ABS(MIN(Monthly_NAV!I4:I39)),"")</f>
        <v/>
      </c>
      <c r="D17" s="18" t="inlineStr">
        <is>
          <t>Higher = better return per unit of max drawdown risk</t>
        </is>
      </c>
    </row>
    <row r="18" ht="7.5" customHeight="1"/>
    <row r="19" ht="19.5" customHeight="1">
      <c r="B19" s="3" t="inlineStr">
        <is>
          <t>PRESENTATION NOTES</t>
        </is>
      </c>
    </row>
    <row r="20" ht="21.75" customHeight="1">
      <c r="B20" s="16" t="inlineStr">
        <is>
          <t>Leverage</t>
        </is>
      </c>
      <c r="C20" s="20" t="inlineStr">
        <is>
          <t>None — gross exposure ≤ 100%</t>
        </is>
      </c>
      <c r="D20" s="18" t="inlineStr">
        <is>
          <t>State explicitly in all presentations</t>
        </is>
      </c>
    </row>
    <row r="21" ht="21.75" customHeight="1">
      <c r="B21" s="16" t="inlineStr">
        <is>
          <t>Fees</t>
        </is>
      </c>
      <c r="C21" s="20" t="inlineStr">
        <is>
          <t>None applied in simulation</t>
        </is>
      </c>
      <c r="D21" s="18" t="inlineStr">
        <is>
          <t>Virtual forward simulation — state explicitly</t>
        </is>
      </c>
    </row>
    <row r="22" ht="21.75" customHeight="1">
      <c r="B22" s="16" t="inlineStr">
        <is>
          <t>Slippage / Commission</t>
        </is>
      </c>
      <c r="C22" s="20" t="inlineStr">
        <is>
          <t>None applied</t>
        </is>
      </c>
      <c r="D22" s="18" t="inlineStr">
        <is>
          <t>Real-world implementation would reduce returns</t>
        </is>
      </c>
    </row>
    <row r="23" ht="21.75" customHeight="1">
      <c r="B23" s="16" t="inlineStr">
        <is>
          <t>Benchmark</t>
        </is>
      </c>
      <c r="C23" s="20" t="inlineStr">
        <is>
          <t>S&amp;P 500 (net-long book, ~+$80 net on $100 gross)</t>
        </is>
      </c>
      <c r="D23" s="18" t="inlineStr">
        <is>
          <t>Benchmarked to the S&amp;P 500; the book is net long, not market-neutral.</t>
        </is>
      </c>
    </row>
    <row r="24" ht="21.75" customHeight="1">
      <c r="B24" s="16" t="inlineStr">
        <is>
          <t>Risk-Free Rate</t>
        </is>
      </c>
      <c r="C24" s="20" t="inlineStr">
        <is>
          <t>0% (stated explicitly)</t>
        </is>
      </c>
      <c r="D24" s="18" t="inlineStr">
        <is>
          <t>Conservative — no inflation of Sharpe via negative rates</t>
        </is>
      </c>
    </row>
    <row r="25" ht="21.75" customHeight="1">
      <c r="B25" s="16" t="inlineStr">
        <is>
          <t>Record Type</t>
        </is>
      </c>
      <c r="C25" s="20" t="inlineStr">
        <is>
          <t>Out-of-sample forward simulation</t>
        </is>
      </c>
      <c r="D25" s="18" t="inlineStr">
        <is>
          <t>Signals generated in real-time, not retrospectively adjusted</t>
        </is>
      </c>
    </row>
    <row r="26" ht="21.75" customHeight="1">
      <c r="B26" s="16" t="inlineStr">
        <is>
          <t>Equal Weight Method</t>
        </is>
      </c>
      <c r="C26" s="20" t="inlineStr">
        <is>
          <t>1/N per active signal, rebalanced on each new entry</t>
        </is>
      </c>
      <c r="D26" s="18" t="inlineStr">
        <is>
          <t>No optimisation, no conviction weighting in Layer 1</t>
        </is>
      </c>
    </row>
    <row r="28">
      <c r="B28" t="inlineStr">
        <is>
          <t>Max Drawdown Duration (months, peak-&gt;trough)</t>
        </is>
      </c>
      <c r="C28" t="n">
        <v>2</v>
      </c>
      <c r="D28" t="inlineStr">
        <is>
          <t>Worst DD -5.51% : Jan-26 peak -&gt; Mar-26 trough</t>
        </is>
      </c>
    </row>
    <row r="29">
      <c r="B29" t="inlineStr">
        <is>
          <t>Recovery Time (months, trough-&gt;new high)</t>
        </is>
      </c>
      <c r="C29" t="n">
        <v>2</v>
      </c>
      <c r="D29" t="inlineStr">
        <is>
          <t>Months from trough back to prior high-water mark</t>
        </is>
      </c>
    </row>
    <row r="31">
      <c r="B31" t="inlineStr">
        <is>
          <t>Version</t>
        </is>
      </c>
      <c r="C31" t="inlineStr">
        <is>
          <t>Version B (all / MTM)</t>
        </is>
      </c>
    </row>
    <row r="32">
      <c r="B32" t="inlineStr">
        <is>
          <t>TRUE Daily Max Drawdown (peak-&gt;trough)</t>
        </is>
      </c>
      <c r="C32" s="29" t="n">
        <v>-0.1326</v>
      </c>
      <c r="D32" t="inlineStr">
        <is>
          <t>Daily peak-to-trough (month-end DD above UNDERSTATES this)</t>
        </is>
      </c>
    </row>
  </sheetData>
  <mergeCells count="4">
    <mergeCell ref="B12:D12"/>
    <mergeCell ref="B1:D1"/>
    <mergeCell ref="B19:D19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10" defaultColWidth="8.6640625" defaultRowHeight="15"/>
  <cols>
    <col width="16" customWidth="1" min="2" max="2"/>
    <col width="20" customWidth="1" min="3" max="3"/>
    <col width="22" customWidth="1" min="4" max="5"/>
    <col width="26" customWidth="1" min="6" max="6"/>
    <col width="32" customWidth="1" min="8" max="8"/>
    <col width="18" customWidth="1" min="9" max="9"/>
  </cols>
  <sheetData>
    <row r="1" ht="24" customHeight="1">
      <c r="B1" s="2" t="inlineStr">
        <is>
          <t>DAILY ACTIVE SIGNALS  |  Optional — fill if available  |  Used for capital utilisation analysis</t>
        </is>
      </c>
    </row>
    <row r="2" ht="36" customHeight="1">
      <c r="A2" s="9" t="n"/>
      <c r="B2" s="9" t="inlineStr">
        <is>
          <t>Date</t>
        </is>
      </c>
      <c r="C2" s="9" t="inlineStr">
        <is>
          <t>Active Signals (N)
[FILL YELLOW]</t>
        </is>
      </c>
      <c r="D2" s="9" t="inlineStr">
        <is>
          <t>Capital per Signal
= $10m / N</t>
        </is>
      </c>
      <c r="E2" s="9" t="inlineStr">
        <is>
          <t>% Portfolio Deployed
= N / Max_N × 100%</t>
        </is>
      </c>
      <c r="F2" s="9" t="inlineStr">
        <is>
          <t>Notes</t>
        </is>
      </c>
      <c r="H2" s="1" t="inlineStr">
        <is>
          <t>SUMMARY STATS</t>
        </is>
      </c>
    </row>
    <row r="3" ht="18" customHeight="1">
      <c r="B3" s="27" t="n">
        <v>45292</v>
      </c>
      <c r="C3" s="21" t="n">
        <v>3</v>
      </c>
      <c r="D3" s="14">
        <f>IF(C3="","",IF(C3=0,"",10000000/C3))</f>
        <v/>
      </c>
      <c r="E3" s="22">
        <f>IF(C3="","",C3/630)</f>
        <v/>
      </c>
      <c r="F3" s="23" t="n"/>
      <c r="H3" s="24" t="inlineStr">
        <is>
          <t>Average Active Signals (N)</t>
        </is>
      </c>
      <c r="I3" s="25">
        <f>IFERROR(AVERAGEIF(C3:C901,"&gt;0"),"")</f>
        <v/>
      </c>
    </row>
    <row r="4" ht="18" customHeight="1">
      <c r="B4" s="27" t="n">
        <v>45293</v>
      </c>
      <c r="C4" s="21" t="n">
        <v>3</v>
      </c>
      <c r="D4" s="14">
        <f>IF(C4="","",IF(C4=0,"",10000000/C4))</f>
        <v/>
      </c>
      <c r="E4" s="22">
        <f>IF(C4="","",C4/630)</f>
        <v/>
      </c>
      <c r="F4" s="23" t="n"/>
      <c r="H4" s="24" t="inlineStr">
        <is>
          <t>Median Active Signals (N)</t>
        </is>
      </c>
      <c r="I4" s="25">
        <f>IFERROR(MEDIAN(C3:C901),"")</f>
        <v/>
      </c>
    </row>
    <row r="5" ht="18" customHeight="1">
      <c r="B5" s="27" t="n">
        <v>45294</v>
      </c>
      <c r="C5" s="21" t="n">
        <v>5</v>
      </c>
      <c r="D5" s="14">
        <f>IF(C5="","",IF(C5=0,"",10000000/C5))</f>
        <v/>
      </c>
      <c r="E5" s="22">
        <f>IF(C5="","",C5/630)</f>
        <v/>
      </c>
      <c r="F5" s="23" t="n"/>
      <c r="H5" s="24" t="inlineStr">
        <is>
          <t>Min Active Signals (N)</t>
        </is>
      </c>
      <c r="I5" s="25">
        <f>IFERROR(MIN(IF(C3:C901&gt;0,C3:C901)),"")</f>
        <v/>
      </c>
    </row>
    <row r="6" ht="18" customHeight="1">
      <c r="B6" s="27" t="n">
        <v>45295</v>
      </c>
      <c r="C6" s="21" t="n">
        <v>5</v>
      </c>
      <c r="D6" s="14">
        <f>IF(C6="","",IF(C6=0,"",10000000/C6))</f>
        <v/>
      </c>
      <c r="E6" s="22">
        <f>IF(C6="","",C6/630)</f>
        <v/>
      </c>
      <c r="F6" s="23" t="n"/>
      <c r="H6" s="24" t="inlineStr">
        <is>
          <t>Max Active Signals (N)</t>
        </is>
      </c>
      <c r="I6" s="25">
        <f>IFERROR(MAX(C3:C901),"")</f>
        <v/>
      </c>
    </row>
    <row r="7" ht="18" customHeight="1">
      <c r="B7" s="27" t="n">
        <v>45296</v>
      </c>
      <c r="C7" s="21" t="n">
        <v>6</v>
      </c>
      <c r="D7" s="14">
        <f>IF(C7="","",IF(C7=0,"",10000000/C7))</f>
        <v/>
      </c>
      <c r="E7" s="22">
        <f>IF(C7="","",C7/630)</f>
        <v/>
      </c>
      <c r="F7" s="23" t="n"/>
      <c r="H7" s="24" t="inlineStr">
        <is>
          <t>Avg % Portfolio Deployed</t>
        </is>
      </c>
      <c r="I7" s="25">
        <f>IFERROR(AVERAGEIF(E3:E901,"&gt;0"),"")</f>
        <v/>
      </c>
    </row>
    <row r="8" ht="15" customHeight="1">
      <c r="B8" s="27" t="n">
        <v>45297</v>
      </c>
      <c r="C8" s="21" t="n">
        <v>6</v>
      </c>
      <c r="D8" s="14">
        <f>IF(C8="","",IF(C8=0,"",10000000/C8))</f>
        <v/>
      </c>
      <c r="E8" s="22">
        <f>IF(C8="","",C8/630)</f>
        <v/>
      </c>
      <c r="F8" s="23" t="n"/>
    </row>
    <row r="9" ht="15" customHeight="1">
      <c r="B9" s="27" t="n">
        <v>45298</v>
      </c>
      <c r="C9" s="21" t="n">
        <v>13</v>
      </c>
      <c r="D9" s="14">
        <f>IF(C9="","",IF(C9=0,"",10000000/C9))</f>
        <v/>
      </c>
      <c r="E9" s="22">
        <f>IF(C9="","",C9/630)</f>
        <v/>
      </c>
      <c r="F9" s="23" t="n"/>
    </row>
    <row r="10" ht="15" customHeight="1">
      <c r="B10" s="27" t="n">
        <v>45299</v>
      </c>
      <c r="C10" s="21" t="n">
        <v>13</v>
      </c>
      <c r="D10" s="14">
        <f>IF(C10="","",IF(C10=0,"",10000000/C10))</f>
        <v/>
      </c>
      <c r="E10" s="22">
        <f>IF(C10="","",C10/630)</f>
        <v/>
      </c>
      <c r="F10" s="23" t="n"/>
    </row>
    <row r="11" ht="15" customHeight="1">
      <c r="B11" s="27" t="n">
        <v>45300</v>
      </c>
      <c r="C11" s="21" t="n">
        <v>13</v>
      </c>
      <c r="D11" s="14">
        <f>IF(C11="","",IF(C11=0,"",10000000/C11))</f>
        <v/>
      </c>
      <c r="E11" s="22">
        <f>IF(C11="","",C11/630)</f>
        <v/>
      </c>
      <c r="F11" s="23" t="n"/>
    </row>
    <row r="12" ht="15" customHeight="1">
      <c r="B12" s="27" t="n">
        <v>45301</v>
      </c>
      <c r="C12" s="21" t="n">
        <v>14</v>
      </c>
      <c r="D12" s="14">
        <f>IF(C12="","",IF(C12=0,"",10000000/C12))</f>
        <v/>
      </c>
      <c r="E12" s="22">
        <f>IF(C12="","",C12/630)</f>
        <v/>
      </c>
      <c r="F12" s="23" t="n"/>
    </row>
    <row r="13" ht="15" customHeight="1">
      <c r="B13" s="27" t="n">
        <v>45302</v>
      </c>
      <c r="C13" s="21" t="n">
        <v>14</v>
      </c>
      <c r="D13" s="14">
        <f>IF(C13="","",IF(C13=0,"",10000000/C13))</f>
        <v/>
      </c>
      <c r="E13" s="22">
        <f>IF(C13="","",C13/630)</f>
        <v/>
      </c>
      <c r="F13" s="23" t="n"/>
    </row>
    <row r="14" ht="15" customHeight="1">
      <c r="B14" s="27" t="n">
        <v>45303</v>
      </c>
      <c r="C14" s="21" t="n">
        <v>15</v>
      </c>
      <c r="D14" s="14">
        <f>IF(C14="","",IF(C14=0,"",10000000/C14))</f>
        <v/>
      </c>
      <c r="E14" s="22">
        <f>IF(C14="","",C14/630)</f>
        <v/>
      </c>
      <c r="F14" s="23" t="n"/>
    </row>
    <row r="15" ht="15" customHeight="1">
      <c r="B15" s="27" t="n">
        <v>45304</v>
      </c>
      <c r="C15" s="21" t="n">
        <v>15</v>
      </c>
      <c r="D15" s="14">
        <f>IF(C15="","",IF(C15=0,"",10000000/C15))</f>
        <v/>
      </c>
      <c r="E15" s="22">
        <f>IF(C15="","",C15/630)</f>
        <v/>
      </c>
      <c r="F15" s="23" t="n"/>
    </row>
    <row r="16" ht="15" customHeight="1">
      <c r="B16" s="27" t="n">
        <v>45305</v>
      </c>
      <c r="C16" s="21" t="n">
        <v>17</v>
      </c>
      <c r="D16" s="14">
        <f>IF(C16="","",IF(C16=0,"",10000000/C16))</f>
        <v/>
      </c>
      <c r="E16" s="22">
        <f>IF(C16="","",C16/630)</f>
        <v/>
      </c>
      <c r="F16" s="23" t="n"/>
    </row>
    <row r="17" ht="15" customHeight="1">
      <c r="B17" s="27" t="n">
        <v>45306</v>
      </c>
      <c r="C17" s="21" t="n">
        <v>17</v>
      </c>
      <c r="D17" s="14">
        <f>IF(C17="","",IF(C17=0,"",10000000/C17))</f>
        <v/>
      </c>
      <c r="E17" s="22">
        <f>IF(C17="","",C17/630)</f>
        <v/>
      </c>
      <c r="F17" s="23" t="n"/>
    </row>
    <row r="18" ht="15" customHeight="1">
      <c r="B18" s="27" t="n">
        <v>45307</v>
      </c>
      <c r="C18" s="21" t="n">
        <v>18</v>
      </c>
      <c r="D18" s="14">
        <f>IF(C18="","",IF(C18=0,"",10000000/C18))</f>
        <v/>
      </c>
      <c r="E18" s="22">
        <f>IF(C18="","",C18/630)</f>
        <v/>
      </c>
      <c r="F18" s="23" t="n"/>
    </row>
    <row r="19" ht="15" customHeight="1">
      <c r="B19" s="27" t="n">
        <v>45308</v>
      </c>
      <c r="C19" s="21" t="n">
        <v>18</v>
      </c>
      <c r="D19" s="14">
        <f>IF(C19="","",IF(C19=0,"",10000000/C19))</f>
        <v/>
      </c>
      <c r="E19" s="22">
        <f>IF(C19="","",C19/630)</f>
        <v/>
      </c>
      <c r="F19" s="23" t="n"/>
    </row>
    <row r="20" ht="15" customHeight="1">
      <c r="B20" s="27" t="n">
        <v>45309</v>
      </c>
      <c r="C20" s="21" t="n">
        <v>18</v>
      </c>
      <c r="D20" s="14">
        <f>IF(C20="","",IF(C20=0,"",10000000/C20))</f>
        <v/>
      </c>
      <c r="E20" s="22">
        <f>IF(C20="","",C20/630)</f>
        <v/>
      </c>
      <c r="F20" s="23" t="n"/>
    </row>
    <row r="21" ht="15" customHeight="1">
      <c r="B21" s="27" t="n">
        <v>45310</v>
      </c>
      <c r="C21" s="21" t="n">
        <v>19</v>
      </c>
      <c r="D21" s="14">
        <f>IF(C21="","",IF(C21=0,"",10000000/C21))</f>
        <v/>
      </c>
      <c r="E21" s="22">
        <f>IF(C21="","",C21/630)</f>
        <v/>
      </c>
      <c r="F21" s="23" t="n"/>
    </row>
    <row r="22" ht="15" customHeight="1">
      <c r="B22" s="27" t="n">
        <v>45311</v>
      </c>
      <c r="C22" s="21" t="n">
        <v>19</v>
      </c>
      <c r="D22" s="14">
        <f>IF(C22="","",IF(C22=0,"",10000000/C22))</f>
        <v/>
      </c>
      <c r="E22" s="22">
        <f>IF(C22="","",C22/630)</f>
        <v/>
      </c>
      <c r="F22" s="23" t="n"/>
    </row>
    <row r="23" ht="15" customHeight="1">
      <c r="B23" s="27" t="n">
        <v>45312</v>
      </c>
      <c r="C23" s="21" t="n">
        <v>21</v>
      </c>
      <c r="D23" s="14">
        <f>IF(C23="","",IF(C23=0,"",10000000/C23))</f>
        <v/>
      </c>
      <c r="E23" s="22">
        <f>IF(C23="","",C23/630)</f>
        <v/>
      </c>
      <c r="F23" s="23" t="n"/>
    </row>
    <row r="24" ht="15" customHeight="1">
      <c r="B24" s="27" t="n">
        <v>45313</v>
      </c>
      <c r="C24" s="21" t="n">
        <v>22</v>
      </c>
      <c r="D24" s="14">
        <f>IF(C24="","",IF(C24=0,"",10000000/C24))</f>
        <v/>
      </c>
      <c r="E24" s="22">
        <f>IF(C24="","",C24/630)</f>
        <v/>
      </c>
      <c r="F24" s="23" t="n"/>
    </row>
    <row r="25" ht="15" customHeight="1">
      <c r="B25" s="27" t="n">
        <v>45314</v>
      </c>
      <c r="C25" s="21" t="n">
        <v>22</v>
      </c>
      <c r="D25" s="14">
        <f>IF(C25="","",IF(C25=0,"",10000000/C25))</f>
        <v/>
      </c>
      <c r="E25" s="22">
        <f>IF(C25="","",C25/630)</f>
        <v/>
      </c>
      <c r="F25" s="23" t="n"/>
    </row>
    <row r="26" ht="15" customHeight="1">
      <c r="B26" s="27" t="n">
        <v>45315</v>
      </c>
      <c r="C26" s="21" t="n">
        <v>22</v>
      </c>
      <c r="D26" s="14">
        <f>IF(C26="","",IF(C26=0,"",10000000/C26))</f>
        <v/>
      </c>
      <c r="E26" s="22">
        <f>IF(C26="","",C26/630)</f>
        <v/>
      </c>
      <c r="F26" s="23" t="n"/>
    </row>
    <row r="27" ht="15" customHeight="1">
      <c r="B27" s="27" t="n">
        <v>45316</v>
      </c>
      <c r="C27" s="21" t="n">
        <v>22</v>
      </c>
      <c r="D27" s="14">
        <f>IF(C27="","",IF(C27=0,"",10000000/C27))</f>
        <v/>
      </c>
      <c r="E27" s="22">
        <f>IF(C27="","",C27/630)</f>
        <v/>
      </c>
      <c r="F27" s="23" t="n"/>
    </row>
    <row r="28" ht="15" customHeight="1">
      <c r="B28" s="27" t="n">
        <v>45317</v>
      </c>
      <c r="C28" s="21" t="n">
        <v>22</v>
      </c>
      <c r="D28" s="14">
        <f>IF(C28="","",IF(C28=0,"",10000000/C28))</f>
        <v/>
      </c>
      <c r="E28" s="22">
        <f>IF(C28="","",C28/630)</f>
        <v/>
      </c>
      <c r="F28" s="23" t="n"/>
    </row>
    <row r="29" ht="15" customHeight="1">
      <c r="B29" s="27" t="n">
        <v>45318</v>
      </c>
      <c r="C29" s="21" t="n">
        <v>22</v>
      </c>
      <c r="D29" s="14">
        <f>IF(C29="","",IF(C29=0,"",10000000/C29))</f>
        <v/>
      </c>
      <c r="E29" s="22">
        <f>IF(C29="","",C29/630)</f>
        <v/>
      </c>
      <c r="F29" s="23" t="n"/>
    </row>
    <row r="30" ht="15" customHeight="1">
      <c r="B30" s="27" t="n">
        <v>45319</v>
      </c>
      <c r="C30" s="21" t="n">
        <v>25</v>
      </c>
      <c r="D30" s="14">
        <f>IF(C30="","",IF(C30=0,"",10000000/C30))</f>
        <v/>
      </c>
      <c r="E30" s="22">
        <f>IF(C30="","",C30/630)</f>
        <v/>
      </c>
      <c r="F30" s="23" t="n"/>
    </row>
    <row r="31" ht="15" customHeight="1">
      <c r="B31" s="27" t="n">
        <v>45320</v>
      </c>
      <c r="C31" s="21" t="n">
        <v>25</v>
      </c>
      <c r="D31" s="14">
        <f>IF(C31="","",IF(C31=0,"",10000000/C31))</f>
        <v/>
      </c>
      <c r="E31" s="22">
        <f>IF(C31="","",C31/630)</f>
        <v/>
      </c>
      <c r="F31" s="23" t="n"/>
    </row>
    <row r="32" ht="15" customHeight="1">
      <c r="B32" s="27" t="n">
        <v>45321</v>
      </c>
      <c r="C32" s="21" t="n">
        <v>25</v>
      </c>
      <c r="D32" s="14">
        <f>IF(C32="","",IF(C32=0,"",10000000/C32))</f>
        <v/>
      </c>
      <c r="E32" s="22">
        <f>IF(C32="","",C32/630)</f>
        <v/>
      </c>
      <c r="F32" s="23" t="n"/>
    </row>
    <row r="33" ht="15" customHeight="1">
      <c r="B33" s="27" t="n">
        <v>45322</v>
      </c>
      <c r="C33" s="21" t="n">
        <v>36</v>
      </c>
      <c r="D33" s="14">
        <f>IF(C33="","",IF(C33=0,"",10000000/C33))</f>
        <v/>
      </c>
      <c r="E33" s="22">
        <f>IF(C33="","",C33/630)</f>
        <v/>
      </c>
      <c r="F33" s="23" t="n"/>
    </row>
    <row r="34" ht="15" customHeight="1">
      <c r="B34" s="27" t="n">
        <v>45323</v>
      </c>
      <c r="C34" s="21" t="n">
        <v>39</v>
      </c>
      <c r="D34" s="14">
        <f>IF(C34="","",IF(C34=0,"",10000000/C34))</f>
        <v/>
      </c>
      <c r="E34" s="22">
        <f>IF(C34="","",C34/630)</f>
        <v/>
      </c>
      <c r="F34" s="23" t="n"/>
    </row>
    <row r="35" ht="15" customHeight="1">
      <c r="B35" s="27" t="n">
        <v>45324</v>
      </c>
      <c r="C35" s="21" t="n">
        <v>39</v>
      </c>
      <c r="D35" s="14">
        <f>IF(C35="","",IF(C35=0,"",10000000/C35))</f>
        <v/>
      </c>
      <c r="E35" s="22">
        <f>IF(C35="","",C35/630)</f>
        <v/>
      </c>
      <c r="F35" s="23" t="n"/>
    </row>
    <row r="36" ht="15" customHeight="1">
      <c r="B36" s="27" t="n">
        <v>45325</v>
      </c>
      <c r="C36" s="21" t="n">
        <v>39</v>
      </c>
      <c r="D36" s="14">
        <f>IF(C36="","",IF(C36=0,"",10000000/C36))</f>
        <v/>
      </c>
      <c r="E36" s="22">
        <f>IF(C36="","",C36/630)</f>
        <v/>
      </c>
      <c r="F36" s="23" t="n"/>
    </row>
    <row r="37" ht="15" customHeight="1">
      <c r="B37" s="27" t="n">
        <v>45326</v>
      </c>
      <c r="C37" s="21" t="n">
        <v>41</v>
      </c>
      <c r="D37" s="14">
        <f>IF(C37="","",IF(C37=0,"",10000000/C37))</f>
        <v/>
      </c>
      <c r="E37" s="22">
        <f>IF(C37="","",C37/630)</f>
        <v/>
      </c>
      <c r="F37" s="23" t="n"/>
    </row>
    <row r="38" ht="15" customHeight="1">
      <c r="B38" s="27" t="n">
        <v>45327</v>
      </c>
      <c r="C38" s="21" t="n">
        <v>42</v>
      </c>
      <c r="D38" s="14">
        <f>IF(C38="","",IF(C38=0,"",10000000/C38))</f>
        <v/>
      </c>
      <c r="E38" s="22">
        <f>IF(C38="","",C38/630)</f>
        <v/>
      </c>
      <c r="F38" s="23" t="n"/>
    </row>
    <row r="39" ht="15" customHeight="1">
      <c r="B39" s="27" t="n">
        <v>45328</v>
      </c>
      <c r="C39" s="21" t="n">
        <v>41</v>
      </c>
      <c r="D39" s="14">
        <f>IF(C39="","",IF(C39=0,"",10000000/C39))</f>
        <v/>
      </c>
      <c r="E39" s="22">
        <f>IF(C39="","",C39/630)</f>
        <v/>
      </c>
      <c r="F39" s="23" t="n"/>
    </row>
    <row r="40" ht="15" customHeight="1">
      <c r="B40" s="27" t="n">
        <v>45329</v>
      </c>
      <c r="C40" s="21" t="n">
        <v>41</v>
      </c>
      <c r="D40" s="14">
        <f>IF(C40="","",IF(C40=0,"",10000000/C40))</f>
        <v/>
      </c>
      <c r="E40" s="22">
        <f>IF(C40="","",C40/630)</f>
        <v/>
      </c>
      <c r="F40" s="23" t="n"/>
    </row>
    <row r="41" ht="15" customHeight="1">
      <c r="B41" s="27" t="n">
        <v>45330</v>
      </c>
      <c r="C41" s="21" t="n">
        <v>41</v>
      </c>
      <c r="D41" s="14">
        <f>IF(C41="","",IF(C41=0,"",10000000/C41))</f>
        <v/>
      </c>
      <c r="E41" s="22">
        <f>IF(C41="","",C41/630)</f>
        <v/>
      </c>
      <c r="F41" s="23" t="n"/>
    </row>
    <row r="42" ht="15" customHeight="1">
      <c r="B42" s="27" t="n">
        <v>45331</v>
      </c>
      <c r="C42" s="21" t="n">
        <v>42</v>
      </c>
      <c r="D42" s="14">
        <f>IF(C42="","",IF(C42=0,"",10000000/C42))</f>
        <v/>
      </c>
      <c r="E42" s="22">
        <f>IF(C42="","",C42/630)</f>
        <v/>
      </c>
      <c r="F42" s="23" t="n"/>
    </row>
    <row r="43" ht="15" customHeight="1">
      <c r="B43" s="27" t="n">
        <v>45332</v>
      </c>
      <c r="C43" s="21" t="n">
        <v>42</v>
      </c>
      <c r="D43" s="14">
        <f>IF(C43="","",IF(C43=0,"",10000000/C43))</f>
        <v/>
      </c>
      <c r="E43" s="22">
        <f>IF(C43="","",C43/630)</f>
        <v/>
      </c>
      <c r="F43" s="23" t="n"/>
    </row>
    <row r="44" ht="15" customHeight="1">
      <c r="B44" s="27" t="n">
        <v>45333</v>
      </c>
      <c r="C44" s="21" t="n">
        <v>40</v>
      </c>
      <c r="D44" s="14">
        <f>IF(C44="","",IF(C44=0,"",10000000/C44))</f>
        <v/>
      </c>
      <c r="E44" s="22">
        <f>IF(C44="","",C44/630)</f>
        <v/>
      </c>
      <c r="F44" s="23" t="n"/>
    </row>
    <row r="45" ht="15" customHeight="1">
      <c r="B45" s="27" t="n">
        <v>45334</v>
      </c>
      <c r="C45" s="21" t="n">
        <v>42</v>
      </c>
      <c r="D45" s="14">
        <f>IF(C45="","",IF(C45=0,"",10000000/C45))</f>
        <v/>
      </c>
      <c r="E45" s="22">
        <f>IF(C45="","",C45/630)</f>
        <v/>
      </c>
      <c r="F45" s="23" t="n"/>
    </row>
    <row r="46" ht="15" customHeight="1">
      <c r="B46" s="27" t="n">
        <v>45335</v>
      </c>
      <c r="C46" s="21" t="n">
        <v>43</v>
      </c>
      <c r="D46" s="14">
        <f>IF(C46="","",IF(C46=0,"",10000000/C46))</f>
        <v/>
      </c>
      <c r="E46" s="22">
        <f>IF(C46="","",C46/630)</f>
        <v/>
      </c>
      <c r="F46" s="23" t="n"/>
    </row>
    <row r="47" ht="15" customHeight="1">
      <c r="B47" s="27" t="n">
        <v>45336</v>
      </c>
      <c r="C47" s="21" t="n">
        <v>42</v>
      </c>
      <c r="D47" s="14">
        <f>IF(C47="","",IF(C47=0,"",10000000/C47))</f>
        <v/>
      </c>
      <c r="E47" s="22">
        <f>IF(C47="","",C47/630)</f>
        <v/>
      </c>
      <c r="F47" s="23" t="n"/>
    </row>
    <row r="48" ht="15" customHeight="1">
      <c r="B48" s="27" t="n">
        <v>45337</v>
      </c>
      <c r="C48" s="21" t="n">
        <v>43</v>
      </c>
      <c r="D48" s="14">
        <f>IF(C48="","",IF(C48=0,"",10000000/C48))</f>
        <v/>
      </c>
      <c r="E48" s="22">
        <f>IF(C48="","",C48/630)</f>
        <v/>
      </c>
      <c r="F48" s="23" t="n"/>
    </row>
    <row r="49" ht="15" customHeight="1">
      <c r="B49" s="27" t="n">
        <v>45338</v>
      </c>
      <c r="C49" s="21" t="n">
        <v>43</v>
      </c>
      <c r="D49" s="14">
        <f>IF(C49="","",IF(C49=0,"",10000000/C49))</f>
        <v/>
      </c>
      <c r="E49" s="22">
        <f>IF(C49="","",C49/630)</f>
        <v/>
      </c>
      <c r="F49" s="23" t="n"/>
    </row>
    <row r="50" ht="15" customHeight="1">
      <c r="B50" s="27" t="n">
        <v>45339</v>
      </c>
      <c r="C50" s="21" t="n">
        <v>43</v>
      </c>
      <c r="D50" s="14">
        <f>IF(C50="","",IF(C50=0,"",10000000/C50))</f>
        <v/>
      </c>
      <c r="E50" s="22">
        <f>IF(C50="","",C50/630)</f>
        <v/>
      </c>
      <c r="F50" s="23" t="n"/>
    </row>
    <row r="51" ht="15" customHeight="1">
      <c r="B51" s="27" t="n">
        <v>45340</v>
      </c>
      <c r="C51" s="21" t="n">
        <v>50</v>
      </c>
      <c r="D51" s="14">
        <f>IF(C51="","",IF(C51=0,"",10000000/C51))</f>
        <v/>
      </c>
      <c r="E51" s="22">
        <f>IF(C51="","",C51/630)</f>
        <v/>
      </c>
      <c r="F51" s="23" t="n"/>
    </row>
    <row r="52" ht="15" customHeight="1">
      <c r="B52" s="27" t="n">
        <v>45341</v>
      </c>
      <c r="C52" s="21" t="n">
        <v>51</v>
      </c>
      <c r="D52" s="14">
        <f>IF(C52="","",IF(C52=0,"",10000000/C52))</f>
        <v/>
      </c>
      <c r="E52" s="22">
        <f>IF(C52="","",C52/630)</f>
        <v/>
      </c>
      <c r="F52" s="23" t="n"/>
    </row>
    <row r="53" ht="15" customHeight="1">
      <c r="B53" s="27" t="n">
        <v>45342</v>
      </c>
      <c r="C53" s="21" t="n">
        <v>52</v>
      </c>
      <c r="D53" s="14">
        <f>IF(C53="","",IF(C53=0,"",10000000/C53))</f>
        <v/>
      </c>
      <c r="E53" s="22">
        <f>IF(C53="","",C53/630)</f>
        <v/>
      </c>
      <c r="F53" s="23" t="n"/>
    </row>
    <row r="54" ht="15" customHeight="1">
      <c r="B54" s="27" t="n">
        <v>45343</v>
      </c>
      <c r="C54" s="21" t="n">
        <v>52</v>
      </c>
      <c r="D54" s="14">
        <f>IF(C54="","",IF(C54=0,"",10000000/C54))</f>
        <v/>
      </c>
      <c r="E54" s="22">
        <f>IF(C54="","",C54/630)</f>
        <v/>
      </c>
      <c r="F54" s="23" t="n"/>
    </row>
    <row r="55" ht="15" customHeight="1">
      <c r="B55" s="27" t="n">
        <v>45344</v>
      </c>
      <c r="C55" s="21" t="n">
        <v>56</v>
      </c>
      <c r="D55" s="14">
        <f>IF(C55="","",IF(C55=0,"",10000000/C55))</f>
        <v/>
      </c>
      <c r="E55" s="22">
        <f>IF(C55="","",C55/630)</f>
        <v/>
      </c>
      <c r="F55" s="23" t="n"/>
    </row>
    <row r="56" ht="15" customHeight="1">
      <c r="B56" s="27" t="n">
        <v>45345</v>
      </c>
      <c r="C56" s="21" t="n">
        <v>55</v>
      </c>
      <c r="D56" s="14">
        <f>IF(C56="","",IF(C56=0,"",10000000/C56))</f>
        <v/>
      </c>
      <c r="E56" s="22">
        <f>IF(C56="","",C56/630)</f>
        <v/>
      </c>
      <c r="F56" s="23" t="n"/>
    </row>
    <row r="57" ht="15" customHeight="1">
      <c r="B57" s="27" t="n">
        <v>45346</v>
      </c>
      <c r="C57" s="21" t="n">
        <v>55</v>
      </c>
      <c r="D57" s="14">
        <f>IF(C57="","",IF(C57=0,"",10000000/C57))</f>
        <v/>
      </c>
      <c r="E57" s="22">
        <f>IF(C57="","",C57/630)</f>
        <v/>
      </c>
      <c r="F57" s="23" t="n"/>
    </row>
    <row r="58" ht="15" customHeight="1">
      <c r="B58" s="27" t="n">
        <v>45347</v>
      </c>
      <c r="C58" s="21" t="n">
        <v>59</v>
      </c>
      <c r="D58" s="14">
        <f>IF(C58="","",IF(C58=0,"",10000000/C58))</f>
        <v/>
      </c>
      <c r="E58" s="22">
        <f>IF(C58="","",C58/630)</f>
        <v/>
      </c>
      <c r="F58" s="23" t="n"/>
    </row>
    <row r="59" ht="15" customHeight="1">
      <c r="B59" s="27" t="n">
        <v>45348</v>
      </c>
      <c r="C59" s="21" t="n">
        <v>60</v>
      </c>
      <c r="D59" s="14">
        <f>IF(C59="","",IF(C59=0,"",10000000/C59))</f>
        <v/>
      </c>
      <c r="E59" s="22">
        <f>IF(C59="","",C59/630)</f>
        <v/>
      </c>
      <c r="F59" s="23" t="n"/>
    </row>
    <row r="60" ht="15" customHeight="1">
      <c r="B60" s="27" t="n">
        <v>45349</v>
      </c>
      <c r="C60" s="21" t="n">
        <v>63</v>
      </c>
      <c r="D60" s="14">
        <f>IF(C60="","",IF(C60=0,"",10000000/C60))</f>
        <v/>
      </c>
      <c r="E60" s="22">
        <f>IF(C60="","",C60/630)</f>
        <v/>
      </c>
      <c r="F60" s="23" t="n"/>
    </row>
    <row r="61" ht="15" customHeight="1">
      <c r="B61" s="27" t="n">
        <v>45350</v>
      </c>
      <c r="C61" s="21" t="n">
        <v>64</v>
      </c>
      <c r="D61" s="14">
        <f>IF(C61="","",IF(C61=0,"",10000000/C61))</f>
        <v/>
      </c>
      <c r="E61" s="22">
        <f>IF(C61="","",C61/630)</f>
        <v/>
      </c>
      <c r="F61" s="23" t="n"/>
    </row>
    <row r="62" ht="15" customHeight="1">
      <c r="B62" s="27" t="n">
        <v>45351</v>
      </c>
      <c r="C62" s="21" t="n">
        <v>72</v>
      </c>
      <c r="D62" s="14">
        <f>IF(C62="","",IF(C62=0,"",10000000/C62))</f>
        <v/>
      </c>
      <c r="E62" s="22">
        <f>IF(C62="","",C62/630)</f>
        <v/>
      </c>
      <c r="F62" s="23" t="n"/>
    </row>
    <row r="63" ht="15" customHeight="1">
      <c r="B63" s="27" t="n">
        <v>45352</v>
      </c>
      <c r="C63" s="21" t="n">
        <v>72</v>
      </c>
      <c r="D63" s="14">
        <f>IF(C63="","",IF(C63=0,"",10000000/C63))</f>
        <v/>
      </c>
      <c r="E63" s="22">
        <f>IF(C63="","",C63/630)</f>
        <v/>
      </c>
      <c r="F63" s="23" t="n"/>
    </row>
    <row r="64" ht="15" customHeight="1">
      <c r="B64" s="27" t="n">
        <v>45353</v>
      </c>
      <c r="C64" s="21" t="n">
        <v>72</v>
      </c>
      <c r="D64" s="14">
        <f>IF(C64="","",IF(C64=0,"",10000000/C64))</f>
        <v/>
      </c>
      <c r="E64" s="22">
        <f>IF(C64="","",C64/630)</f>
        <v/>
      </c>
      <c r="F64" s="23" t="n"/>
    </row>
    <row r="65" ht="15" customHeight="1">
      <c r="B65" s="27" t="n">
        <v>45354</v>
      </c>
      <c r="C65" s="21" t="n">
        <v>74</v>
      </c>
      <c r="D65" s="14">
        <f>IF(C65="","",IF(C65=0,"",10000000/C65))</f>
        <v/>
      </c>
      <c r="E65" s="22">
        <f>IF(C65="","",C65/630)</f>
        <v/>
      </c>
      <c r="F65" s="23" t="n"/>
    </row>
    <row r="66" ht="15" customHeight="1">
      <c r="B66" s="27" t="n">
        <v>45355</v>
      </c>
      <c r="C66" s="21" t="n">
        <v>77</v>
      </c>
      <c r="D66" s="14">
        <f>IF(C66="","",IF(C66=0,"",10000000/C66))</f>
        <v/>
      </c>
      <c r="E66" s="22">
        <f>IF(C66="","",C66/630)</f>
        <v/>
      </c>
      <c r="F66" s="23" t="n"/>
    </row>
    <row r="67" ht="15" customHeight="1">
      <c r="B67" s="27" t="n">
        <v>45356</v>
      </c>
      <c r="C67" s="21" t="n">
        <v>80</v>
      </c>
      <c r="D67" s="14">
        <f>IF(C67="","",IF(C67=0,"",10000000/C67))</f>
        <v/>
      </c>
      <c r="E67" s="22">
        <f>IF(C67="","",C67/630)</f>
        <v/>
      </c>
      <c r="F67" s="23" t="n"/>
    </row>
    <row r="68" ht="15" customHeight="1">
      <c r="B68" s="27" t="n">
        <v>45357</v>
      </c>
      <c r="C68" s="21" t="n">
        <v>81</v>
      </c>
      <c r="D68" s="14">
        <f>IF(C68="","",IF(C68=0,"",10000000/C68))</f>
        <v/>
      </c>
      <c r="E68" s="22">
        <f>IF(C68="","",C68/630)</f>
        <v/>
      </c>
      <c r="F68" s="23" t="n"/>
    </row>
    <row r="69" ht="15" customHeight="1">
      <c r="B69" s="27" t="n">
        <v>45358</v>
      </c>
      <c r="C69" s="21" t="n">
        <v>82</v>
      </c>
      <c r="D69" s="14">
        <f>IF(C69="","",IF(C69=0,"",10000000/C69))</f>
        <v/>
      </c>
      <c r="E69" s="22">
        <f>IF(C69="","",C69/630)</f>
        <v/>
      </c>
      <c r="F69" s="23" t="n"/>
    </row>
    <row r="70" ht="15" customHeight="1">
      <c r="B70" s="27" t="n">
        <v>45359</v>
      </c>
      <c r="C70" s="21" t="n">
        <v>81</v>
      </c>
      <c r="D70" s="14">
        <f>IF(C70="","",IF(C70=0,"",10000000/C70))</f>
        <v/>
      </c>
      <c r="E70" s="22">
        <f>IF(C70="","",C70/630)</f>
        <v/>
      </c>
      <c r="F70" s="23" t="n"/>
    </row>
    <row r="71" ht="15" customHeight="1">
      <c r="B71" s="27" t="n">
        <v>45360</v>
      </c>
      <c r="C71" s="21" t="n">
        <v>81</v>
      </c>
      <c r="D71" s="14">
        <f>IF(C71="","",IF(C71=0,"",10000000/C71))</f>
        <v/>
      </c>
      <c r="E71" s="22">
        <f>IF(C71="","",C71/630)</f>
        <v/>
      </c>
      <c r="F71" s="23" t="n"/>
    </row>
    <row r="72" ht="15" customHeight="1">
      <c r="B72" s="27" t="n">
        <v>45361</v>
      </c>
      <c r="C72" s="21" t="n">
        <v>83</v>
      </c>
      <c r="D72" s="14">
        <f>IF(C72="","",IF(C72=0,"",10000000/C72))</f>
        <v/>
      </c>
      <c r="E72" s="22">
        <f>IF(C72="","",C72/630)</f>
        <v/>
      </c>
      <c r="F72" s="23" t="n"/>
    </row>
    <row r="73" ht="15" customHeight="1">
      <c r="B73" s="27" t="n">
        <v>45362</v>
      </c>
      <c r="C73" s="21" t="n">
        <v>83</v>
      </c>
      <c r="D73" s="14">
        <f>IF(C73="","",IF(C73=0,"",10000000/C73))</f>
        <v/>
      </c>
      <c r="E73" s="22">
        <f>IF(C73="","",C73/630)</f>
        <v/>
      </c>
      <c r="F73" s="23" t="n"/>
    </row>
    <row r="74" ht="15" customHeight="1">
      <c r="B74" s="27" t="n">
        <v>45363</v>
      </c>
      <c r="C74" s="21" t="n">
        <v>84</v>
      </c>
      <c r="D74" s="14">
        <f>IF(C74="","",IF(C74=0,"",10000000/C74))</f>
        <v/>
      </c>
      <c r="E74" s="22">
        <f>IF(C74="","",C74/630)</f>
        <v/>
      </c>
      <c r="F74" s="23" t="n"/>
    </row>
    <row r="75" ht="15" customHeight="1">
      <c r="B75" s="27" t="n">
        <v>45364</v>
      </c>
      <c r="C75" s="21" t="n">
        <v>83</v>
      </c>
      <c r="D75" s="14">
        <f>IF(C75="","",IF(C75=0,"",10000000/C75))</f>
        <v/>
      </c>
      <c r="E75" s="22">
        <f>IF(C75="","",C75/630)</f>
        <v/>
      </c>
      <c r="F75" s="23" t="n"/>
    </row>
    <row r="76" ht="15" customHeight="1">
      <c r="B76" s="27" t="n">
        <v>45365</v>
      </c>
      <c r="C76" s="21" t="n">
        <v>83</v>
      </c>
      <c r="D76" s="14">
        <f>IF(C76="","",IF(C76=0,"",10000000/C76))</f>
        <v/>
      </c>
      <c r="E76" s="22">
        <f>IF(C76="","",C76/630)</f>
        <v/>
      </c>
      <c r="F76" s="23" t="n"/>
    </row>
    <row r="77" ht="15" customHeight="1">
      <c r="B77" s="27" t="n">
        <v>45366</v>
      </c>
      <c r="C77" s="21" t="n">
        <v>84</v>
      </c>
      <c r="D77" s="14">
        <f>IF(C77="","",IF(C77=0,"",10000000/C77))</f>
        <v/>
      </c>
      <c r="E77" s="22">
        <f>IF(C77="","",C77/630)</f>
        <v/>
      </c>
      <c r="F77" s="23" t="n"/>
    </row>
    <row r="78" ht="15" customHeight="1">
      <c r="B78" s="27" t="n">
        <v>45367</v>
      </c>
      <c r="C78" s="21" t="n">
        <v>84</v>
      </c>
      <c r="D78" s="14">
        <f>IF(C78="","",IF(C78=0,"",10000000/C78))</f>
        <v/>
      </c>
      <c r="E78" s="22">
        <f>IF(C78="","",C78/630)</f>
        <v/>
      </c>
      <c r="F78" s="23" t="n"/>
    </row>
    <row r="79" ht="15" customHeight="1">
      <c r="B79" s="27" t="n">
        <v>45368</v>
      </c>
      <c r="C79" s="21" t="n">
        <v>82</v>
      </c>
      <c r="D79" s="14">
        <f>IF(C79="","",IF(C79=0,"",10000000/C79))</f>
        <v/>
      </c>
      <c r="E79" s="22">
        <f>IF(C79="","",C79/630)</f>
        <v/>
      </c>
      <c r="F79" s="23" t="n"/>
    </row>
    <row r="80" ht="15" customHeight="1">
      <c r="B80" s="27" t="n">
        <v>45369</v>
      </c>
      <c r="C80" s="21" t="n">
        <v>85</v>
      </c>
      <c r="D80" s="14">
        <f>IF(C80="","",IF(C80=0,"",10000000/C80))</f>
        <v/>
      </c>
      <c r="E80" s="22">
        <f>IF(C80="","",C80/630)</f>
        <v/>
      </c>
      <c r="F80" s="23" t="n"/>
    </row>
    <row r="81" ht="15" customHeight="1">
      <c r="B81" s="27" t="n">
        <v>45370</v>
      </c>
      <c r="C81" s="21" t="n">
        <v>82</v>
      </c>
      <c r="D81" s="14">
        <f>IF(C81="","",IF(C81=0,"",10000000/C81))</f>
        <v/>
      </c>
      <c r="E81" s="22">
        <f>IF(C81="","",C81/630)</f>
        <v/>
      </c>
      <c r="F81" s="23" t="n"/>
    </row>
    <row r="82" ht="15" customHeight="1">
      <c r="B82" s="27" t="n">
        <v>45371</v>
      </c>
      <c r="C82" s="21" t="n">
        <v>83</v>
      </c>
      <c r="D82" s="14">
        <f>IF(C82="","",IF(C82=0,"",10000000/C82))</f>
        <v/>
      </c>
      <c r="E82" s="22">
        <f>IF(C82="","",C82/630)</f>
        <v/>
      </c>
      <c r="F82" s="23" t="n"/>
    </row>
    <row r="83" ht="15" customHeight="1">
      <c r="B83" s="27" t="n">
        <v>45372</v>
      </c>
      <c r="C83" s="21" t="n">
        <v>84</v>
      </c>
      <c r="D83" s="14">
        <f>IF(C83="","",IF(C83=0,"",10000000/C83))</f>
        <v/>
      </c>
      <c r="E83" s="22">
        <f>IF(C83="","",C83/630)</f>
        <v/>
      </c>
      <c r="F83" s="23" t="n"/>
    </row>
    <row r="84" ht="15" customHeight="1">
      <c r="B84" s="27" t="n">
        <v>45373</v>
      </c>
      <c r="C84" s="21" t="n">
        <v>84</v>
      </c>
      <c r="D84" s="14">
        <f>IF(C84="","",IF(C84=0,"",10000000/C84))</f>
        <v/>
      </c>
      <c r="E84" s="22">
        <f>IF(C84="","",C84/630)</f>
        <v/>
      </c>
      <c r="F84" s="23" t="n"/>
    </row>
    <row r="85" ht="15" customHeight="1">
      <c r="B85" s="27" t="n">
        <v>45374</v>
      </c>
      <c r="C85" s="21" t="n">
        <v>84</v>
      </c>
      <c r="D85" s="14">
        <f>IF(C85="","",IF(C85=0,"",10000000/C85))</f>
        <v/>
      </c>
      <c r="E85" s="22">
        <f>IF(C85="","",C85/630)</f>
        <v/>
      </c>
      <c r="F85" s="23" t="n"/>
    </row>
    <row r="86" ht="15" customHeight="1">
      <c r="B86" s="27" t="n">
        <v>45375</v>
      </c>
      <c r="C86" s="21" t="n">
        <v>85</v>
      </c>
      <c r="D86" s="14">
        <f>IF(C86="","",IF(C86=0,"",10000000/C86))</f>
        <v/>
      </c>
      <c r="E86" s="22">
        <f>IF(C86="","",C86/630)</f>
        <v/>
      </c>
      <c r="F86" s="23" t="n"/>
    </row>
    <row r="87" ht="15" customHeight="1">
      <c r="B87" s="27" t="n">
        <v>45376</v>
      </c>
      <c r="C87" s="21" t="n">
        <v>89</v>
      </c>
      <c r="D87" s="14">
        <f>IF(C87="","",IF(C87=0,"",10000000/C87))</f>
        <v/>
      </c>
      <c r="E87" s="22">
        <f>IF(C87="","",C87/630)</f>
        <v/>
      </c>
      <c r="F87" s="23" t="n"/>
    </row>
    <row r="88" ht="15" customHeight="1">
      <c r="B88" s="27" t="n">
        <v>45377</v>
      </c>
      <c r="C88" s="21" t="n">
        <v>95</v>
      </c>
      <c r="D88" s="14">
        <f>IF(C88="","",IF(C88=0,"",10000000/C88))</f>
        <v/>
      </c>
      <c r="E88" s="22">
        <f>IF(C88="","",C88/630)</f>
        <v/>
      </c>
      <c r="F88" s="23" t="n"/>
    </row>
    <row r="89" ht="15" customHeight="1">
      <c r="B89" s="27" t="n">
        <v>45378</v>
      </c>
      <c r="C89" s="21" t="n">
        <v>97</v>
      </c>
      <c r="D89" s="14">
        <f>IF(C89="","",IF(C89=0,"",10000000/C89))</f>
        <v/>
      </c>
      <c r="E89" s="22">
        <f>IF(C89="","",C89/630)</f>
        <v/>
      </c>
      <c r="F89" s="23" t="n"/>
    </row>
    <row r="90" ht="15" customHeight="1">
      <c r="B90" s="27" t="n">
        <v>45379</v>
      </c>
      <c r="C90" s="21" t="n">
        <v>100</v>
      </c>
      <c r="D90" s="14">
        <f>IF(C90="","",IF(C90=0,"",10000000/C90))</f>
        <v/>
      </c>
      <c r="E90" s="22">
        <f>IF(C90="","",C90/630)</f>
        <v/>
      </c>
      <c r="F90" s="23" t="n"/>
    </row>
    <row r="91" ht="15" customHeight="1">
      <c r="B91" s="27" t="n">
        <v>45380</v>
      </c>
      <c r="C91" s="21" t="n">
        <v>100</v>
      </c>
      <c r="D91" s="14">
        <f>IF(C91="","",IF(C91=0,"",10000000/C91))</f>
        <v/>
      </c>
      <c r="E91" s="22">
        <f>IF(C91="","",C91/630)</f>
        <v/>
      </c>
      <c r="F91" s="23" t="n"/>
    </row>
    <row r="92" ht="15" customHeight="1">
      <c r="B92" s="27" t="n">
        <v>45381</v>
      </c>
      <c r="C92" s="21" t="n">
        <v>100</v>
      </c>
      <c r="D92" s="14">
        <f>IF(C92="","",IF(C92=0,"",10000000/C92))</f>
        <v/>
      </c>
      <c r="E92" s="22">
        <f>IF(C92="","",C92/630)</f>
        <v/>
      </c>
      <c r="F92" s="23" t="n"/>
    </row>
    <row r="93" ht="15" customHeight="1">
      <c r="B93" s="27" t="n">
        <v>45382</v>
      </c>
      <c r="C93" s="21" t="n">
        <v>107</v>
      </c>
      <c r="D93" s="14">
        <f>IF(C93="","",IF(C93=0,"",10000000/C93))</f>
        <v/>
      </c>
      <c r="E93" s="22">
        <f>IF(C93="","",C93/630)</f>
        <v/>
      </c>
      <c r="F93" s="23" t="n"/>
    </row>
    <row r="94" ht="15" customHeight="1">
      <c r="B94" s="27" t="n">
        <v>45383</v>
      </c>
      <c r="C94" s="21" t="n">
        <v>112</v>
      </c>
      <c r="D94" s="14">
        <f>IF(C94="","",IF(C94=0,"",10000000/C94))</f>
        <v/>
      </c>
      <c r="E94" s="22">
        <f>IF(C94="","",C94/630)</f>
        <v/>
      </c>
      <c r="F94" s="23" t="n"/>
    </row>
    <row r="95" ht="15" customHeight="1">
      <c r="B95" s="27" t="n">
        <v>45384</v>
      </c>
      <c r="C95" s="21" t="n">
        <v>111</v>
      </c>
      <c r="D95" s="14">
        <f>IF(C95="","",IF(C95=0,"",10000000/C95))</f>
        <v/>
      </c>
      <c r="E95" s="22">
        <f>IF(C95="","",C95/630)</f>
        <v/>
      </c>
      <c r="F95" s="23" t="n"/>
    </row>
    <row r="96" ht="15" customHeight="1">
      <c r="B96" s="27" t="n">
        <v>45385</v>
      </c>
      <c r="C96" s="21" t="n">
        <v>113</v>
      </c>
      <c r="D96" s="14">
        <f>IF(C96="","",IF(C96=0,"",10000000/C96))</f>
        <v/>
      </c>
      <c r="E96" s="22">
        <f>IF(C96="","",C96/630)</f>
        <v/>
      </c>
      <c r="F96" s="23" t="n"/>
    </row>
    <row r="97" ht="15" customHeight="1">
      <c r="B97" s="27" t="n">
        <v>45386</v>
      </c>
      <c r="C97" s="21" t="n">
        <v>120</v>
      </c>
      <c r="D97" s="14">
        <f>IF(C97="","",IF(C97=0,"",10000000/C97))</f>
        <v/>
      </c>
      <c r="E97" s="22">
        <f>IF(C97="","",C97/630)</f>
        <v/>
      </c>
      <c r="F97" s="23" t="n"/>
    </row>
    <row r="98" ht="15" customHeight="1">
      <c r="B98" s="27" t="n">
        <v>45387</v>
      </c>
      <c r="C98" s="21" t="n">
        <v>126</v>
      </c>
      <c r="D98" s="14">
        <f>IF(C98="","",IF(C98=0,"",10000000/C98))</f>
        <v/>
      </c>
      <c r="E98" s="22">
        <f>IF(C98="","",C98/630)</f>
        <v/>
      </c>
      <c r="F98" s="23" t="n"/>
    </row>
    <row r="99" ht="15" customHeight="1">
      <c r="B99" s="27" t="n">
        <v>45388</v>
      </c>
      <c r="C99" s="21" t="n">
        <v>126</v>
      </c>
      <c r="D99" s="14">
        <f>IF(C99="","",IF(C99=0,"",10000000/C99))</f>
        <v/>
      </c>
      <c r="E99" s="22">
        <f>IF(C99="","",C99/630)</f>
        <v/>
      </c>
      <c r="F99" s="23" t="n"/>
    </row>
    <row r="100" ht="15" customHeight="1">
      <c r="B100" s="27" t="n">
        <v>45389</v>
      </c>
      <c r="C100" s="21" t="n">
        <v>123</v>
      </c>
      <c r="D100" s="14">
        <f>IF(C100="","",IF(C100=0,"",10000000/C100))</f>
        <v/>
      </c>
      <c r="E100" s="22">
        <f>IF(C100="","",C100/630)</f>
        <v/>
      </c>
      <c r="F100" s="23" t="n"/>
    </row>
    <row r="101" ht="15" customHeight="1">
      <c r="B101" s="27" t="n">
        <v>45390</v>
      </c>
      <c r="C101" s="21" t="n">
        <v>129</v>
      </c>
      <c r="D101" s="14">
        <f>IF(C101="","",IF(C101=0,"",10000000/C101))</f>
        <v/>
      </c>
      <c r="E101" s="22">
        <f>IF(C101="","",C101/630)</f>
        <v/>
      </c>
      <c r="F101" s="23" t="n"/>
    </row>
    <row r="102" ht="15" customHeight="1">
      <c r="B102" s="27" t="n">
        <v>45391</v>
      </c>
      <c r="C102" s="21" t="n">
        <v>130</v>
      </c>
      <c r="D102" s="14">
        <f>IF(C102="","",IF(C102=0,"",10000000/C102))</f>
        <v/>
      </c>
      <c r="E102" s="22">
        <f>IF(C102="","",C102/630)</f>
        <v/>
      </c>
      <c r="F102" s="23" t="n"/>
    </row>
    <row r="103" ht="15" customHeight="1">
      <c r="B103" s="27" t="n">
        <v>45392</v>
      </c>
      <c r="C103" s="21" t="n">
        <v>127</v>
      </c>
      <c r="D103" s="14">
        <f>IF(C103="","",IF(C103=0,"",10000000/C103))</f>
        <v/>
      </c>
      <c r="E103" s="22">
        <f>IF(C103="","",C103/630)</f>
        <v/>
      </c>
      <c r="F103" s="23" t="n"/>
    </row>
    <row r="104" ht="15" customHeight="1">
      <c r="B104" s="27" t="n">
        <v>45393</v>
      </c>
      <c r="C104" s="21" t="n">
        <v>130</v>
      </c>
      <c r="D104" s="14">
        <f>IF(C104="","",IF(C104=0,"",10000000/C104))</f>
        <v/>
      </c>
      <c r="E104" s="22">
        <f>IF(C104="","",C104/630)</f>
        <v/>
      </c>
      <c r="F104" s="23" t="n"/>
    </row>
    <row r="105" ht="15" customHeight="1">
      <c r="B105" s="27" t="n">
        <v>45394</v>
      </c>
      <c r="C105" s="21" t="n">
        <v>136</v>
      </c>
      <c r="D105" s="14">
        <f>IF(C105="","",IF(C105=0,"",10000000/C105))</f>
        <v/>
      </c>
      <c r="E105" s="22">
        <f>IF(C105="","",C105/630)</f>
        <v/>
      </c>
      <c r="F105" s="23" t="n"/>
    </row>
    <row r="106" ht="15" customHeight="1">
      <c r="B106" s="27" t="n">
        <v>45395</v>
      </c>
      <c r="C106" s="21" t="n">
        <v>136</v>
      </c>
      <c r="D106" s="14">
        <f>IF(C106="","",IF(C106=0,"",10000000/C106))</f>
        <v/>
      </c>
      <c r="E106" s="22">
        <f>IF(C106="","",C106/630)</f>
        <v/>
      </c>
      <c r="F106" s="23" t="n"/>
    </row>
    <row r="107" ht="15" customHeight="1">
      <c r="B107" s="27" t="n">
        <v>45396</v>
      </c>
      <c r="C107" s="21" t="n">
        <v>146</v>
      </c>
      <c r="D107" s="14">
        <f>IF(C107="","",IF(C107=0,"",10000000/C107))</f>
        <v/>
      </c>
      <c r="E107" s="22">
        <f>IF(C107="","",C107/630)</f>
        <v/>
      </c>
      <c r="F107" s="23" t="n"/>
    </row>
    <row r="108" ht="15" customHeight="1">
      <c r="B108" s="27" t="n">
        <v>45397</v>
      </c>
      <c r="C108" s="21" t="n">
        <v>148</v>
      </c>
      <c r="D108" s="14">
        <f>IF(C108="","",IF(C108=0,"",10000000/C108))</f>
        <v/>
      </c>
      <c r="E108" s="22">
        <f>IF(C108="","",C108/630)</f>
        <v/>
      </c>
      <c r="F108" s="23" t="n"/>
    </row>
    <row r="109" ht="15" customHeight="1">
      <c r="B109" s="27" t="n">
        <v>45398</v>
      </c>
      <c r="C109" s="21" t="n">
        <v>160</v>
      </c>
      <c r="D109" s="14">
        <f>IF(C109="","",IF(C109=0,"",10000000/C109))</f>
        <v/>
      </c>
      <c r="E109" s="22">
        <f>IF(C109="","",C109/630)</f>
        <v/>
      </c>
      <c r="F109" s="23" t="n"/>
    </row>
    <row r="110" ht="15" customHeight="1">
      <c r="B110" s="27" t="n">
        <v>45399</v>
      </c>
      <c r="C110" s="21" t="n">
        <v>181</v>
      </c>
      <c r="D110" s="14">
        <f>IF(C110="","",IF(C110=0,"",10000000/C110))</f>
        <v/>
      </c>
      <c r="E110" s="22">
        <f>IF(C110="","",C110/630)</f>
        <v/>
      </c>
      <c r="F110" s="23" t="n"/>
    </row>
    <row r="111" ht="15" customHeight="1">
      <c r="B111" s="27" t="n">
        <v>45400</v>
      </c>
      <c r="C111" s="21" t="n">
        <v>194</v>
      </c>
      <c r="D111" s="14">
        <f>IF(C111="","",IF(C111=0,"",10000000/C111))</f>
        <v/>
      </c>
      <c r="E111" s="22">
        <f>IF(C111="","",C111/630)</f>
        <v/>
      </c>
      <c r="F111" s="23" t="n"/>
    </row>
    <row r="112" ht="15" customHeight="1">
      <c r="B112" s="27" t="n">
        <v>45401</v>
      </c>
      <c r="C112" s="21" t="n">
        <v>194</v>
      </c>
      <c r="D112" s="14">
        <f>IF(C112="","",IF(C112=0,"",10000000/C112))</f>
        <v/>
      </c>
      <c r="E112" s="22">
        <f>IF(C112="","",C112/630)</f>
        <v/>
      </c>
      <c r="F112" s="23" t="n"/>
    </row>
    <row r="113" ht="15" customHeight="1">
      <c r="B113" s="27" t="n">
        <v>45402</v>
      </c>
      <c r="C113" s="21" t="n">
        <v>194</v>
      </c>
      <c r="D113" s="14">
        <f>IF(C113="","",IF(C113=0,"",10000000/C113))</f>
        <v/>
      </c>
      <c r="E113" s="22">
        <f>IF(C113="","",C113/630)</f>
        <v/>
      </c>
      <c r="F113" s="23" t="n"/>
    </row>
    <row r="114" ht="15" customHeight="1">
      <c r="B114" s="27" t="n">
        <v>45403</v>
      </c>
      <c r="C114" s="21" t="n">
        <v>191</v>
      </c>
      <c r="D114" s="14">
        <f>IF(C114="","",IF(C114=0,"",10000000/C114))</f>
        <v/>
      </c>
      <c r="E114" s="22">
        <f>IF(C114="","",C114/630)</f>
        <v/>
      </c>
      <c r="F114" s="23" t="n"/>
    </row>
    <row r="115" ht="15" customHeight="1">
      <c r="B115" s="27" t="n">
        <v>45404</v>
      </c>
      <c r="C115" s="21" t="n">
        <v>200</v>
      </c>
      <c r="D115" s="14">
        <f>IF(C115="","",IF(C115=0,"",10000000/C115))</f>
        <v/>
      </c>
      <c r="E115" s="22">
        <f>IF(C115="","",C115/630)</f>
        <v/>
      </c>
      <c r="F115" s="23" t="n"/>
    </row>
    <row r="116" ht="15" customHeight="1">
      <c r="B116" s="27" t="n">
        <v>45405</v>
      </c>
      <c r="C116" s="21" t="n">
        <v>199</v>
      </c>
      <c r="D116" s="14">
        <f>IF(C116="","",IF(C116=0,"",10000000/C116))</f>
        <v/>
      </c>
      <c r="E116" s="22">
        <f>IF(C116="","",C116/630)</f>
        <v/>
      </c>
      <c r="F116" s="23" t="n"/>
    </row>
    <row r="117" ht="15" customHeight="1">
      <c r="B117" s="27" t="n">
        <v>45406</v>
      </c>
      <c r="C117" s="21" t="n">
        <v>195</v>
      </c>
      <c r="D117" s="14">
        <f>IF(C117="","",IF(C117=0,"",10000000/C117))</f>
        <v/>
      </c>
      <c r="E117" s="22">
        <f>IF(C117="","",C117/630)</f>
        <v/>
      </c>
      <c r="F117" s="23" t="n"/>
    </row>
    <row r="118" ht="15" customHeight="1">
      <c r="B118" s="27" t="n">
        <v>45407</v>
      </c>
      <c r="C118" s="21" t="n">
        <v>201</v>
      </c>
      <c r="D118" s="14">
        <f>IF(C118="","",IF(C118=0,"",10000000/C118))</f>
        <v/>
      </c>
      <c r="E118" s="22">
        <f>IF(C118="","",C118/630)</f>
        <v/>
      </c>
      <c r="F118" s="23" t="n"/>
    </row>
    <row r="119" ht="15" customHeight="1">
      <c r="B119" s="27" t="n">
        <v>45408</v>
      </c>
      <c r="C119" s="21" t="n">
        <v>204</v>
      </c>
      <c r="D119" s="14">
        <f>IF(C119="","",IF(C119=0,"",10000000/C119))</f>
        <v/>
      </c>
      <c r="E119" s="22">
        <f>IF(C119="","",C119/630)</f>
        <v/>
      </c>
      <c r="F119" s="23" t="n"/>
    </row>
    <row r="120" ht="15" customHeight="1">
      <c r="B120" s="27" t="n">
        <v>45409</v>
      </c>
      <c r="C120" s="21" t="n">
        <v>204</v>
      </c>
      <c r="D120" s="14">
        <f>IF(C120="","",IF(C120=0,"",10000000/C120))</f>
        <v/>
      </c>
      <c r="E120" s="22">
        <f>IF(C120="","",C120/630)</f>
        <v/>
      </c>
      <c r="F120" s="23" t="n"/>
    </row>
    <row r="121" ht="15" customHeight="1">
      <c r="B121" s="27" t="n">
        <v>45410</v>
      </c>
      <c r="C121" s="21" t="n">
        <v>211</v>
      </c>
      <c r="D121" s="14">
        <f>IF(C121="","",IF(C121=0,"",10000000/C121))</f>
        <v/>
      </c>
      <c r="E121" s="22">
        <f>IF(C121="","",C121/630)</f>
        <v/>
      </c>
      <c r="F121" s="23" t="n"/>
    </row>
    <row r="122" ht="15" customHeight="1">
      <c r="B122" s="27" t="n">
        <v>45411</v>
      </c>
      <c r="C122" s="21" t="n">
        <v>215</v>
      </c>
      <c r="D122" s="14">
        <f>IF(C122="","",IF(C122=0,"",10000000/C122))</f>
        <v/>
      </c>
      <c r="E122" s="22">
        <f>IF(C122="","",C122/630)</f>
        <v/>
      </c>
      <c r="F122" s="23" t="n"/>
    </row>
    <row r="123" ht="15" customHeight="1">
      <c r="B123" s="27" t="n">
        <v>45412</v>
      </c>
      <c r="C123" s="21" t="n">
        <v>216</v>
      </c>
      <c r="D123" s="14">
        <f>IF(C123="","",IF(C123=0,"",10000000/C123))</f>
        <v/>
      </c>
      <c r="E123" s="22">
        <f>IF(C123="","",C123/630)</f>
        <v/>
      </c>
      <c r="F123" s="23" t="n"/>
    </row>
    <row r="124" ht="15" customHeight="1">
      <c r="B124" s="27" t="n">
        <v>45413</v>
      </c>
      <c r="C124" s="21" t="n">
        <v>228</v>
      </c>
      <c r="D124" s="14">
        <f>IF(C124="","",IF(C124=0,"",10000000/C124))</f>
        <v/>
      </c>
      <c r="E124" s="22">
        <f>IF(C124="","",C124/630)</f>
        <v/>
      </c>
      <c r="F124" s="23" t="n"/>
    </row>
    <row r="125" ht="15" customHeight="1">
      <c r="B125" s="27" t="n">
        <v>45414</v>
      </c>
      <c r="C125" s="21" t="n">
        <v>227</v>
      </c>
      <c r="D125" s="14">
        <f>IF(C125="","",IF(C125=0,"",10000000/C125))</f>
        <v/>
      </c>
      <c r="E125" s="22">
        <f>IF(C125="","",C125/630)</f>
        <v/>
      </c>
      <c r="F125" s="23" t="n"/>
    </row>
    <row r="126" ht="15" customHeight="1">
      <c r="B126" s="27" t="n">
        <v>45415</v>
      </c>
      <c r="C126" s="21" t="n">
        <v>231</v>
      </c>
      <c r="D126" s="14">
        <f>IF(C126="","",IF(C126=0,"",10000000/C126))</f>
        <v/>
      </c>
      <c r="E126" s="22">
        <f>IF(C126="","",C126/630)</f>
        <v/>
      </c>
      <c r="F126" s="23" t="n"/>
    </row>
    <row r="127" ht="15" customHeight="1">
      <c r="B127" s="27" t="n">
        <v>45416</v>
      </c>
      <c r="C127" s="21" t="n">
        <v>231</v>
      </c>
      <c r="D127" s="14">
        <f>IF(C127="","",IF(C127=0,"",10000000/C127))</f>
        <v/>
      </c>
      <c r="E127" s="22">
        <f>IF(C127="","",C127/630)</f>
        <v/>
      </c>
      <c r="F127" s="23" t="n"/>
    </row>
    <row r="128" ht="15" customHeight="1">
      <c r="B128" s="27" t="n">
        <v>45417</v>
      </c>
      <c r="C128" s="21" t="n">
        <v>237</v>
      </c>
      <c r="D128" s="14">
        <f>IF(C128="","",IF(C128=0,"",10000000/C128))</f>
        <v/>
      </c>
      <c r="E128" s="22">
        <f>IF(C128="","",C128/630)</f>
        <v/>
      </c>
      <c r="F128" s="23" t="n"/>
    </row>
    <row r="129" ht="15" customHeight="1">
      <c r="B129" s="27" t="n">
        <v>45418</v>
      </c>
      <c r="C129" s="21" t="n">
        <v>237</v>
      </c>
      <c r="D129" s="14">
        <f>IF(C129="","",IF(C129=0,"",10000000/C129))</f>
        <v/>
      </c>
      <c r="E129" s="22">
        <f>IF(C129="","",C129/630)</f>
        <v/>
      </c>
      <c r="F129" s="23" t="n"/>
    </row>
    <row r="130" ht="15" customHeight="1">
      <c r="B130" s="27" t="n">
        <v>45419</v>
      </c>
      <c r="C130" s="21" t="n">
        <v>232</v>
      </c>
      <c r="D130" s="14">
        <f>IF(C130="","",IF(C130=0,"",10000000/C130))</f>
        <v/>
      </c>
      <c r="E130" s="22">
        <f>IF(C130="","",C130/630)</f>
        <v/>
      </c>
      <c r="F130" s="23" t="n"/>
    </row>
    <row r="131" ht="15" customHeight="1">
      <c r="B131" s="27" t="n">
        <v>45420</v>
      </c>
      <c r="C131" s="21" t="n">
        <v>236</v>
      </c>
      <c r="D131" s="14">
        <f>IF(C131="","",IF(C131=0,"",10000000/C131))</f>
        <v/>
      </c>
      <c r="E131" s="22">
        <f>IF(C131="","",C131/630)</f>
        <v/>
      </c>
      <c r="F131" s="23" t="n"/>
    </row>
    <row r="132" ht="15" customHeight="1">
      <c r="B132" s="27" t="n">
        <v>45421</v>
      </c>
      <c r="C132" s="21" t="n">
        <v>235</v>
      </c>
      <c r="D132" s="14">
        <f>IF(C132="","",IF(C132=0,"",10000000/C132))</f>
        <v/>
      </c>
      <c r="E132" s="22">
        <f>IF(C132="","",C132/630)</f>
        <v/>
      </c>
      <c r="F132" s="23" t="n"/>
    </row>
    <row r="133" ht="15" customHeight="1">
      <c r="B133" s="27" t="n">
        <v>45422</v>
      </c>
      <c r="C133" s="21" t="n">
        <v>238</v>
      </c>
      <c r="D133" s="14">
        <f>IF(C133="","",IF(C133=0,"",10000000/C133))</f>
        <v/>
      </c>
      <c r="E133" s="22">
        <f>IF(C133="","",C133/630)</f>
        <v/>
      </c>
      <c r="F133" s="23" t="n"/>
    </row>
    <row r="134" ht="15" customHeight="1">
      <c r="B134" s="27" t="n">
        <v>45423</v>
      </c>
      <c r="C134" s="21" t="n">
        <v>238</v>
      </c>
      <c r="D134" s="14">
        <f>IF(C134="","",IF(C134=0,"",10000000/C134))</f>
        <v/>
      </c>
      <c r="E134" s="22">
        <f>IF(C134="","",C134/630)</f>
        <v/>
      </c>
      <c r="F134" s="23" t="n"/>
    </row>
    <row r="135" ht="15" customHeight="1">
      <c r="B135" s="27" t="n">
        <v>45424</v>
      </c>
      <c r="C135" s="21" t="n">
        <v>241</v>
      </c>
      <c r="D135" s="14">
        <f>IF(C135="","",IF(C135=0,"",10000000/C135))</f>
        <v/>
      </c>
      <c r="E135" s="22">
        <f>IF(C135="","",C135/630)</f>
        <v/>
      </c>
      <c r="F135" s="23" t="n"/>
    </row>
    <row r="136" ht="15" customHeight="1">
      <c r="B136" s="27" t="n">
        <v>45425</v>
      </c>
      <c r="C136" s="21" t="n">
        <v>242</v>
      </c>
      <c r="D136" s="14">
        <f>IF(C136="","",IF(C136=0,"",10000000/C136))</f>
        <v/>
      </c>
      <c r="E136" s="22">
        <f>IF(C136="","",C136/630)</f>
        <v/>
      </c>
      <c r="F136" s="23" t="n"/>
    </row>
    <row r="137" ht="15" customHeight="1">
      <c r="B137" s="27" t="n">
        <v>45426</v>
      </c>
      <c r="C137" s="21" t="n">
        <v>240</v>
      </c>
      <c r="D137" s="14">
        <f>IF(C137="","",IF(C137=0,"",10000000/C137))</f>
        <v/>
      </c>
      <c r="E137" s="22">
        <f>IF(C137="","",C137/630)</f>
        <v/>
      </c>
      <c r="F137" s="23" t="n"/>
    </row>
    <row r="138" ht="15" customHeight="1">
      <c r="B138" s="27" t="n">
        <v>45427</v>
      </c>
      <c r="C138" s="21" t="n">
        <v>238</v>
      </c>
      <c r="D138" s="14">
        <f>IF(C138="","",IF(C138=0,"",10000000/C138))</f>
        <v/>
      </c>
      <c r="E138" s="22">
        <f>IF(C138="","",C138/630)</f>
        <v/>
      </c>
      <c r="F138" s="23" t="n"/>
    </row>
    <row r="139" ht="15" customHeight="1">
      <c r="B139" s="27" t="n">
        <v>45428</v>
      </c>
      <c r="C139" s="21" t="n">
        <v>237</v>
      </c>
      <c r="D139" s="14">
        <f>IF(C139="","",IF(C139=0,"",10000000/C139))</f>
        <v/>
      </c>
      <c r="E139" s="22">
        <f>IF(C139="","",C139/630)</f>
        <v/>
      </c>
      <c r="F139" s="23" t="n"/>
    </row>
    <row r="140" ht="15" customHeight="1">
      <c r="B140" s="27" t="n">
        <v>45429</v>
      </c>
      <c r="C140" s="21" t="n">
        <v>234</v>
      </c>
      <c r="D140" s="14">
        <f>IF(C140="","",IF(C140=0,"",10000000/C140))</f>
        <v/>
      </c>
      <c r="E140" s="22">
        <f>IF(C140="","",C140/630)</f>
        <v/>
      </c>
      <c r="F140" s="23" t="n"/>
    </row>
    <row r="141" ht="15" customHeight="1">
      <c r="B141" s="27" t="n">
        <v>45430</v>
      </c>
      <c r="C141" s="21" t="n">
        <v>234</v>
      </c>
      <c r="D141" s="14">
        <f>IF(C141="","",IF(C141=0,"",10000000/C141))</f>
        <v/>
      </c>
      <c r="E141" s="22">
        <f>IF(C141="","",C141/630)</f>
        <v/>
      </c>
      <c r="F141" s="23" t="n"/>
    </row>
    <row r="142" ht="15" customHeight="1">
      <c r="B142" s="27" t="n">
        <v>45431</v>
      </c>
      <c r="C142" s="21" t="n">
        <v>239</v>
      </c>
      <c r="D142" s="14">
        <f>IF(C142="","",IF(C142=0,"",10000000/C142))</f>
        <v/>
      </c>
      <c r="E142" s="22">
        <f>IF(C142="","",C142/630)</f>
        <v/>
      </c>
      <c r="F142" s="23" t="n"/>
    </row>
    <row r="143" ht="15" customHeight="1">
      <c r="B143" s="27" t="n">
        <v>45432</v>
      </c>
      <c r="C143" s="21" t="n">
        <v>239</v>
      </c>
      <c r="D143" s="14">
        <f>IF(C143="","",IF(C143=0,"",10000000/C143))</f>
        <v/>
      </c>
      <c r="E143" s="22">
        <f>IF(C143="","",C143/630)</f>
        <v/>
      </c>
      <c r="F143" s="23" t="n"/>
    </row>
    <row r="144" ht="15" customHeight="1">
      <c r="B144" s="27" t="n">
        <v>45433</v>
      </c>
      <c r="C144" s="21" t="n">
        <v>240</v>
      </c>
      <c r="D144" s="14">
        <f>IF(C144="","",IF(C144=0,"",10000000/C144))</f>
        <v/>
      </c>
      <c r="E144" s="22">
        <f>IF(C144="","",C144/630)</f>
        <v/>
      </c>
      <c r="F144" s="23" t="n"/>
    </row>
    <row r="145" ht="15" customHeight="1">
      <c r="B145" s="27" t="n">
        <v>45434</v>
      </c>
      <c r="C145" s="21" t="n">
        <v>239</v>
      </c>
      <c r="D145" s="14">
        <f>IF(C145="","",IF(C145=0,"",10000000/C145))</f>
        <v/>
      </c>
      <c r="E145" s="22">
        <f>IF(C145="","",C145/630)</f>
        <v/>
      </c>
      <c r="F145" s="23" t="n"/>
    </row>
    <row r="146" ht="15" customHeight="1">
      <c r="B146" s="27" t="n">
        <v>45435</v>
      </c>
      <c r="C146" s="21" t="n">
        <v>238</v>
      </c>
      <c r="D146" s="14">
        <f>IF(C146="","",IF(C146=0,"",10000000/C146))</f>
        <v/>
      </c>
      <c r="E146" s="22">
        <f>IF(C146="","",C146/630)</f>
        <v/>
      </c>
      <c r="F146" s="23" t="n"/>
    </row>
    <row r="147" ht="15" customHeight="1">
      <c r="B147" s="27" t="n">
        <v>45436</v>
      </c>
      <c r="C147" s="21" t="n">
        <v>241</v>
      </c>
      <c r="D147" s="14">
        <f>IF(C147="","",IF(C147=0,"",10000000/C147))</f>
        <v/>
      </c>
      <c r="E147" s="22">
        <f>IF(C147="","",C147/630)</f>
        <v/>
      </c>
      <c r="F147" s="23" t="n"/>
    </row>
    <row r="148" ht="15" customHeight="1">
      <c r="B148" s="27" t="n">
        <v>45437</v>
      </c>
      <c r="C148" s="21" t="n">
        <v>241</v>
      </c>
      <c r="D148" s="14">
        <f>IF(C148="","",IF(C148=0,"",10000000/C148))</f>
        <v/>
      </c>
      <c r="E148" s="22">
        <f>IF(C148="","",C148/630)</f>
        <v/>
      </c>
      <c r="F148" s="23" t="n"/>
    </row>
    <row r="149" ht="15" customHeight="1">
      <c r="B149" s="27" t="n">
        <v>45438</v>
      </c>
      <c r="C149" s="21" t="n">
        <v>240</v>
      </c>
      <c r="D149" s="14">
        <f>IF(C149="","",IF(C149=0,"",10000000/C149))</f>
        <v/>
      </c>
      <c r="E149" s="22">
        <f>IF(C149="","",C149/630)</f>
        <v/>
      </c>
      <c r="F149" s="23" t="n"/>
    </row>
    <row r="150" ht="15" customHeight="1">
      <c r="B150" s="27" t="n">
        <v>45439</v>
      </c>
      <c r="C150" s="21" t="n">
        <v>241</v>
      </c>
      <c r="D150" s="14">
        <f>IF(C150="","",IF(C150=0,"",10000000/C150))</f>
        <v/>
      </c>
      <c r="E150" s="22">
        <f>IF(C150="","",C150/630)</f>
        <v/>
      </c>
      <c r="F150" s="23" t="n"/>
    </row>
    <row r="151" ht="15" customHeight="1">
      <c r="B151" s="27" t="n">
        <v>45440</v>
      </c>
      <c r="C151" s="21" t="n">
        <v>240</v>
      </c>
      <c r="D151" s="14">
        <f>IF(C151="","",IF(C151=0,"",10000000/C151))</f>
        <v/>
      </c>
      <c r="E151" s="22">
        <f>IF(C151="","",C151/630)</f>
        <v/>
      </c>
      <c r="F151" s="23" t="n"/>
    </row>
    <row r="152" ht="15" customHeight="1">
      <c r="B152" s="27" t="n">
        <v>45441</v>
      </c>
      <c r="C152" s="21" t="n">
        <v>236</v>
      </c>
      <c r="D152" s="14">
        <f>IF(C152="","",IF(C152=0,"",10000000/C152))</f>
        <v/>
      </c>
      <c r="E152" s="22">
        <f>IF(C152="","",C152/630)</f>
        <v/>
      </c>
      <c r="F152" s="23" t="n"/>
    </row>
    <row r="153" ht="15" customHeight="1">
      <c r="B153" s="27" t="n">
        <v>45442</v>
      </c>
      <c r="C153" s="21" t="n">
        <v>235</v>
      </c>
      <c r="D153" s="14">
        <f>IF(C153="","",IF(C153=0,"",10000000/C153))</f>
        <v/>
      </c>
      <c r="E153" s="22">
        <f>IF(C153="","",C153/630)</f>
        <v/>
      </c>
      <c r="F153" s="23" t="n"/>
    </row>
    <row r="154" ht="15" customHeight="1">
      <c r="B154" s="27" t="n">
        <v>45443</v>
      </c>
      <c r="C154" s="21" t="n">
        <v>244</v>
      </c>
      <c r="D154" s="14">
        <f>IF(C154="","",IF(C154=0,"",10000000/C154))</f>
        <v/>
      </c>
      <c r="E154" s="22">
        <f>IF(C154="","",C154/630)</f>
        <v/>
      </c>
      <c r="F154" s="23" t="n"/>
    </row>
    <row r="155" ht="15" customHeight="1">
      <c r="B155" s="27" t="n">
        <v>45444</v>
      </c>
      <c r="C155" s="21" t="n">
        <v>244</v>
      </c>
      <c r="D155" s="14">
        <f>IF(C155="","",IF(C155=0,"",10000000/C155))</f>
        <v/>
      </c>
      <c r="E155" s="22">
        <f>IF(C155="","",C155/630)</f>
        <v/>
      </c>
      <c r="F155" s="23" t="n"/>
    </row>
    <row r="156" ht="15" customHeight="1">
      <c r="B156" s="27" t="n">
        <v>45445</v>
      </c>
      <c r="C156" s="21" t="n">
        <v>251</v>
      </c>
      <c r="D156" s="14">
        <f>IF(C156="","",IF(C156=0,"",10000000/C156))</f>
        <v/>
      </c>
      <c r="E156" s="22">
        <f>IF(C156="","",C156/630)</f>
        <v/>
      </c>
      <c r="F156" s="23" t="n"/>
    </row>
    <row r="157" ht="15" customHeight="1">
      <c r="B157" s="27" t="n">
        <v>45446</v>
      </c>
      <c r="C157" s="21" t="n">
        <v>253</v>
      </c>
      <c r="D157" s="14">
        <f>IF(C157="","",IF(C157=0,"",10000000/C157))</f>
        <v/>
      </c>
      <c r="E157" s="22">
        <f>IF(C157="","",C157/630)</f>
        <v/>
      </c>
      <c r="F157" s="23" t="n"/>
    </row>
    <row r="158" ht="15" customHeight="1">
      <c r="B158" s="27" t="n">
        <v>45447</v>
      </c>
      <c r="C158" s="21" t="n">
        <v>254</v>
      </c>
      <c r="D158" s="14">
        <f>IF(C158="","",IF(C158=0,"",10000000/C158))</f>
        <v/>
      </c>
      <c r="E158" s="22">
        <f>IF(C158="","",C158/630)</f>
        <v/>
      </c>
      <c r="F158" s="23" t="n"/>
    </row>
    <row r="159" ht="15" customHeight="1">
      <c r="B159" s="27" t="n">
        <v>45448</v>
      </c>
      <c r="C159" s="21" t="n">
        <v>255</v>
      </c>
      <c r="D159" s="14">
        <f>IF(C159="","",IF(C159=0,"",10000000/C159))</f>
        <v/>
      </c>
      <c r="E159" s="22">
        <f>IF(C159="","",C159/630)</f>
        <v/>
      </c>
      <c r="F159" s="23" t="n"/>
    </row>
    <row r="160" ht="15" customHeight="1">
      <c r="B160" s="27" t="n">
        <v>45449</v>
      </c>
      <c r="C160" s="21" t="n">
        <v>257</v>
      </c>
      <c r="D160" s="14">
        <f>IF(C160="","",IF(C160=0,"",10000000/C160))</f>
        <v/>
      </c>
      <c r="E160" s="22">
        <f>IF(C160="","",C160/630)</f>
        <v/>
      </c>
      <c r="F160" s="23" t="n"/>
    </row>
    <row r="161" ht="15" customHeight="1">
      <c r="B161" s="27" t="n">
        <v>45450</v>
      </c>
      <c r="C161" s="21" t="n">
        <v>256</v>
      </c>
      <c r="D161" s="14">
        <f>IF(C161="","",IF(C161=0,"",10000000/C161))</f>
        <v/>
      </c>
      <c r="E161" s="22">
        <f>IF(C161="","",C161/630)</f>
        <v/>
      </c>
      <c r="F161" s="23" t="n"/>
    </row>
    <row r="162" ht="15" customHeight="1">
      <c r="B162" s="27" t="n">
        <v>45451</v>
      </c>
      <c r="C162" s="21" t="n">
        <v>256</v>
      </c>
      <c r="D162" s="14">
        <f>IF(C162="","",IF(C162=0,"",10000000/C162))</f>
        <v/>
      </c>
      <c r="E162" s="22">
        <f>IF(C162="","",C162/630)</f>
        <v/>
      </c>
      <c r="F162" s="23" t="n"/>
    </row>
    <row r="163" ht="15" customHeight="1">
      <c r="B163" s="27" t="n">
        <v>45452</v>
      </c>
      <c r="C163" s="21" t="n">
        <v>260</v>
      </c>
      <c r="D163" s="14">
        <f>IF(C163="","",IF(C163=0,"",10000000/C163))</f>
        <v/>
      </c>
      <c r="E163" s="22">
        <f>IF(C163="","",C163/630)</f>
        <v/>
      </c>
      <c r="F163" s="23" t="n"/>
    </row>
    <row r="164" ht="15" customHeight="1">
      <c r="B164" s="27" t="n">
        <v>45453</v>
      </c>
      <c r="C164" s="21" t="n">
        <v>256</v>
      </c>
      <c r="D164" s="14">
        <f>IF(C164="","",IF(C164=0,"",10000000/C164))</f>
        <v/>
      </c>
      <c r="E164" s="22">
        <f>IF(C164="","",C164/630)</f>
        <v/>
      </c>
      <c r="F164" s="23" t="n"/>
    </row>
    <row r="165" ht="15" customHeight="1">
      <c r="B165" s="27" t="n">
        <v>45454</v>
      </c>
      <c r="C165" s="21" t="n">
        <v>254</v>
      </c>
      <c r="D165" s="14">
        <f>IF(C165="","",IF(C165=0,"",10000000/C165))</f>
        <v/>
      </c>
      <c r="E165" s="22">
        <f>IF(C165="","",C165/630)</f>
        <v/>
      </c>
      <c r="F165" s="23" t="n"/>
    </row>
    <row r="166" ht="15" customHeight="1">
      <c r="B166" s="27" t="n">
        <v>45455</v>
      </c>
      <c r="C166" s="21" t="n">
        <v>251</v>
      </c>
      <c r="D166" s="14">
        <f>IF(C166="","",IF(C166=0,"",10000000/C166))</f>
        <v/>
      </c>
      <c r="E166" s="22">
        <f>IF(C166="","",C166/630)</f>
        <v/>
      </c>
      <c r="F166" s="23" t="n"/>
    </row>
    <row r="167" ht="15" customHeight="1">
      <c r="B167" s="27" t="n">
        <v>45456</v>
      </c>
      <c r="C167" s="21" t="n">
        <v>255</v>
      </c>
      <c r="D167" s="14">
        <f>IF(C167="","",IF(C167=0,"",10000000/C167))</f>
        <v/>
      </c>
      <c r="E167" s="22">
        <f>IF(C167="","",C167/630)</f>
        <v/>
      </c>
      <c r="F167" s="23" t="n"/>
    </row>
    <row r="168" ht="15" customHeight="1">
      <c r="B168" s="27" t="n">
        <v>45457</v>
      </c>
      <c r="C168" s="21" t="n">
        <v>256</v>
      </c>
      <c r="D168" s="14">
        <f>IF(C168="","",IF(C168=0,"",10000000/C168))</f>
        <v/>
      </c>
      <c r="E168" s="22">
        <f>IF(C168="","",C168/630)</f>
        <v/>
      </c>
      <c r="F168" s="23" t="n"/>
    </row>
    <row r="169" ht="15" customHeight="1">
      <c r="B169" s="27" t="n">
        <v>45458</v>
      </c>
      <c r="C169" s="21" t="n">
        <v>256</v>
      </c>
      <c r="D169" s="14">
        <f>IF(C169="","",IF(C169=0,"",10000000/C169))</f>
        <v/>
      </c>
      <c r="E169" s="22">
        <f>IF(C169="","",C169/630)</f>
        <v/>
      </c>
      <c r="F169" s="23" t="n"/>
    </row>
    <row r="170" ht="15" customHeight="1">
      <c r="B170" s="27" t="n">
        <v>45459</v>
      </c>
      <c r="C170" s="21" t="n">
        <v>255</v>
      </c>
      <c r="D170" s="14">
        <f>IF(C170="","",IF(C170=0,"",10000000/C170))</f>
        <v/>
      </c>
      <c r="E170" s="22">
        <f>IF(C170="","",C170/630)</f>
        <v/>
      </c>
      <c r="F170" s="23" t="n"/>
    </row>
    <row r="171" ht="15" customHeight="1">
      <c r="B171" s="27" t="n">
        <v>45460</v>
      </c>
      <c r="C171" s="21" t="n">
        <v>256</v>
      </c>
      <c r="D171" s="14">
        <f>IF(C171="","",IF(C171=0,"",10000000/C171))</f>
        <v/>
      </c>
      <c r="E171" s="22">
        <f>IF(C171="","",C171/630)</f>
        <v/>
      </c>
      <c r="F171" s="23" t="n"/>
    </row>
    <row r="172" ht="15" customHeight="1">
      <c r="B172" s="27" t="n">
        <v>45461</v>
      </c>
      <c r="C172" s="21" t="n">
        <v>264</v>
      </c>
      <c r="D172" s="14">
        <f>IF(C172="","",IF(C172=0,"",10000000/C172))</f>
        <v/>
      </c>
      <c r="E172" s="22">
        <f>IF(C172="","",C172/630)</f>
        <v/>
      </c>
      <c r="F172" s="23" t="n"/>
    </row>
    <row r="173" ht="15" customHeight="1">
      <c r="B173" s="27" t="n">
        <v>45462</v>
      </c>
      <c r="C173" s="21" t="n">
        <v>263</v>
      </c>
      <c r="D173" s="14">
        <f>IF(C173="","",IF(C173=0,"",10000000/C173))</f>
        <v/>
      </c>
      <c r="E173" s="22">
        <f>IF(C173="","",C173/630)</f>
        <v/>
      </c>
      <c r="F173" s="23" t="n"/>
    </row>
    <row r="174" ht="15" customHeight="1">
      <c r="B174" s="27" t="n">
        <v>45463</v>
      </c>
      <c r="C174" s="21" t="n">
        <v>265</v>
      </c>
      <c r="D174" s="14">
        <f>IF(C174="","",IF(C174=0,"",10000000/C174))</f>
        <v/>
      </c>
      <c r="E174" s="22">
        <f>IF(C174="","",C174/630)</f>
        <v/>
      </c>
      <c r="F174" s="23" t="n"/>
    </row>
    <row r="175" ht="15" customHeight="1">
      <c r="B175" s="27" t="n">
        <v>45464</v>
      </c>
      <c r="C175" s="21" t="n">
        <v>264</v>
      </c>
      <c r="D175" s="14">
        <f>IF(C175="","",IF(C175=0,"",10000000/C175))</f>
        <v/>
      </c>
      <c r="E175" s="22">
        <f>IF(C175="","",C175/630)</f>
        <v/>
      </c>
      <c r="F175" s="23" t="n"/>
    </row>
    <row r="176" ht="15" customHeight="1">
      <c r="B176" s="27" t="n">
        <v>45465</v>
      </c>
      <c r="C176" s="21" t="n">
        <v>265</v>
      </c>
      <c r="D176" s="14">
        <f>IF(C176="","",IF(C176=0,"",10000000/C176))</f>
        <v/>
      </c>
      <c r="E176" s="22">
        <f>IF(C176="","",C176/630)</f>
        <v/>
      </c>
      <c r="F176" s="23" t="n"/>
    </row>
    <row r="177" ht="15" customHeight="1">
      <c r="B177" s="27" t="n">
        <v>45466</v>
      </c>
      <c r="C177" s="21" t="n">
        <v>266</v>
      </c>
      <c r="D177" s="14">
        <f>IF(C177="","",IF(C177=0,"",10000000/C177))</f>
        <v/>
      </c>
      <c r="E177" s="22">
        <f>IF(C177="","",C177/630)</f>
        <v/>
      </c>
      <c r="F177" s="23" t="n"/>
    </row>
    <row r="178" ht="15" customHeight="1">
      <c r="B178" s="27" t="n">
        <v>45467</v>
      </c>
      <c r="C178" s="21" t="n">
        <v>265</v>
      </c>
      <c r="D178" s="14">
        <f>IF(C178="","",IF(C178=0,"",10000000/C178))</f>
        <v/>
      </c>
      <c r="E178" s="22">
        <f>IF(C178="","",C178/630)</f>
        <v/>
      </c>
      <c r="F178" s="23" t="n"/>
    </row>
    <row r="179" ht="15" customHeight="1">
      <c r="B179" s="27" t="n">
        <v>45468</v>
      </c>
      <c r="C179" s="21" t="n">
        <v>266</v>
      </c>
      <c r="D179" s="14">
        <f>IF(C179="","",IF(C179=0,"",10000000/C179))</f>
        <v/>
      </c>
      <c r="E179" s="22">
        <f>IF(C179="","",C179/630)</f>
        <v/>
      </c>
      <c r="F179" s="23" t="n"/>
    </row>
    <row r="180" ht="15" customHeight="1">
      <c r="B180" s="27" t="n">
        <v>45469</v>
      </c>
      <c r="C180" s="21" t="n">
        <v>267</v>
      </c>
      <c r="D180" s="14">
        <f>IF(C180="","",IF(C180=0,"",10000000/C180))</f>
        <v/>
      </c>
      <c r="E180" s="22">
        <f>IF(C180="","",C180/630)</f>
        <v/>
      </c>
      <c r="F180" s="23" t="n"/>
    </row>
    <row r="181" ht="15" customHeight="1">
      <c r="B181" s="27" t="n">
        <v>45470</v>
      </c>
      <c r="C181" s="21" t="n">
        <v>265</v>
      </c>
      <c r="D181" s="14">
        <f>IF(C181="","",IF(C181=0,"",10000000/C181))</f>
        <v/>
      </c>
      <c r="E181" s="22">
        <f>IF(C181="","",C181/630)</f>
        <v/>
      </c>
      <c r="F181" s="23" t="n"/>
    </row>
    <row r="182" ht="15" customHeight="1">
      <c r="B182" s="27" t="n">
        <v>45471</v>
      </c>
      <c r="C182" s="21" t="n">
        <v>263</v>
      </c>
      <c r="D182" s="14">
        <f>IF(C182="","",IF(C182=0,"",10000000/C182))</f>
        <v/>
      </c>
      <c r="E182" s="22">
        <f>IF(C182="","",C182/630)</f>
        <v/>
      </c>
      <c r="F182" s="23" t="n"/>
    </row>
    <row r="183" ht="15" customHeight="1">
      <c r="B183" s="27" t="n">
        <v>45472</v>
      </c>
      <c r="C183" s="21" t="n">
        <v>264</v>
      </c>
      <c r="D183" s="14">
        <f>IF(C183="","",IF(C183=0,"",10000000/C183))</f>
        <v/>
      </c>
      <c r="E183" s="22">
        <f>IF(C183="","",C183/630)</f>
        <v/>
      </c>
      <c r="F183" s="23" t="n"/>
    </row>
    <row r="184" ht="15" customHeight="1">
      <c r="B184" s="27" t="n">
        <v>45473</v>
      </c>
      <c r="C184" s="21" t="n">
        <v>267</v>
      </c>
      <c r="D184" s="14">
        <f>IF(C184="","",IF(C184=0,"",10000000/C184))</f>
        <v/>
      </c>
      <c r="E184" s="22">
        <f>IF(C184="","",C184/630)</f>
        <v/>
      </c>
      <c r="F184" s="23" t="n"/>
    </row>
    <row r="185" ht="15" customHeight="1">
      <c r="B185" s="27" t="n">
        <v>45474</v>
      </c>
      <c r="C185" s="21" t="n">
        <v>270</v>
      </c>
      <c r="D185" s="14">
        <f>IF(C185="","",IF(C185=0,"",10000000/C185))</f>
        <v/>
      </c>
      <c r="E185" s="22">
        <f>IF(C185="","",C185/630)</f>
        <v/>
      </c>
      <c r="F185" s="23" t="n"/>
    </row>
    <row r="186" ht="15" customHeight="1">
      <c r="B186" s="27" t="n">
        <v>45475</v>
      </c>
      <c r="C186" s="21" t="n">
        <v>269</v>
      </c>
      <c r="D186" s="14">
        <f>IF(C186="","",IF(C186=0,"",10000000/C186))</f>
        <v/>
      </c>
      <c r="E186" s="22">
        <f>IF(C186="","",C186/630)</f>
        <v/>
      </c>
      <c r="F186" s="23" t="n"/>
    </row>
    <row r="187" ht="15" customHeight="1">
      <c r="B187" s="27" t="n">
        <v>45476</v>
      </c>
      <c r="C187" s="21" t="n">
        <v>268</v>
      </c>
      <c r="D187" s="14">
        <f>IF(C187="","",IF(C187=0,"",10000000/C187))</f>
        <v/>
      </c>
      <c r="E187" s="22">
        <f>IF(C187="","",C187/630)</f>
        <v/>
      </c>
      <c r="F187" s="23" t="n"/>
    </row>
    <row r="188" ht="15" customHeight="1">
      <c r="B188" s="27" t="n">
        <v>45477</v>
      </c>
      <c r="C188" s="21" t="n">
        <v>268</v>
      </c>
      <c r="D188" s="14">
        <f>IF(C188="","",IF(C188=0,"",10000000/C188))</f>
        <v/>
      </c>
      <c r="E188" s="22">
        <f>IF(C188="","",C188/630)</f>
        <v/>
      </c>
      <c r="F188" s="23" t="n"/>
    </row>
    <row r="189" ht="15" customHeight="1">
      <c r="B189" s="27" t="n">
        <v>45478</v>
      </c>
      <c r="C189" s="21" t="n">
        <v>270</v>
      </c>
      <c r="D189" s="14">
        <f>IF(C189="","",IF(C189=0,"",10000000/C189))</f>
        <v/>
      </c>
      <c r="E189" s="22">
        <f>IF(C189="","",C189/630)</f>
        <v/>
      </c>
      <c r="F189" s="23" t="n"/>
    </row>
    <row r="190" ht="15" customHeight="1">
      <c r="B190" s="27" t="n">
        <v>45479</v>
      </c>
      <c r="C190" s="21" t="n">
        <v>270</v>
      </c>
      <c r="D190" s="14">
        <f>IF(C190="","",IF(C190=0,"",10000000/C190))</f>
        <v/>
      </c>
      <c r="E190" s="22">
        <f>IF(C190="","",C190/630)</f>
        <v/>
      </c>
      <c r="F190" s="23" t="n"/>
    </row>
    <row r="191" ht="15" customHeight="1">
      <c r="B191" s="27" t="n">
        <v>45480</v>
      </c>
      <c r="C191" s="21" t="n">
        <v>272</v>
      </c>
      <c r="D191" s="14">
        <f>IF(C191="","",IF(C191=0,"",10000000/C191))</f>
        <v/>
      </c>
      <c r="E191" s="22">
        <f>IF(C191="","",C191/630)</f>
        <v/>
      </c>
      <c r="F191" s="23" t="n"/>
    </row>
    <row r="192" ht="15" customHeight="1">
      <c r="B192" s="27" t="n">
        <v>45481</v>
      </c>
      <c r="C192" s="21" t="n">
        <v>271</v>
      </c>
      <c r="D192" s="14">
        <f>IF(C192="","",IF(C192=0,"",10000000/C192))</f>
        <v/>
      </c>
      <c r="E192" s="22">
        <f>IF(C192="","",C192/630)</f>
        <v/>
      </c>
      <c r="F192" s="23" t="n"/>
    </row>
    <row r="193" ht="15" customHeight="1">
      <c r="B193" s="27" t="n">
        <v>45482</v>
      </c>
      <c r="C193" s="21" t="n">
        <v>271</v>
      </c>
      <c r="D193" s="14">
        <f>IF(C193="","",IF(C193=0,"",10000000/C193))</f>
        <v/>
      </c>
      <c r="E193" s="22">
        <f>IF(C193="","",C193/630)</f>
        <v/>
      </c>
      <c r="F193" s="23" t="n"/>
    </row>
    <row r="194" ht="15" customHeight="1">
      <c r="B194" s="27" t="n">
        <v>45483</v>
      </c>
      <c r="C194" s="21" t="n">
        <v>265</v>
      </c>
      <c r="D194" s="14">
        <f>IF(C194="","",IF(C194=0,"",10000000/C194))</f>
        <v/>
      </c>
      <c r="E194" s="22">
        <f>IF(C194="","",C194/630)</f>
        <v/>
      </c>
      <c r="F194" s="23" t="n"/>
    </row>
    <row r="195" ht="15" customHeight="1">
      <c r="B195" s="27" t="n">
        <v>45484</v>
      </c>
      <c r="C195" s="21" t="n">
        <v>267</v>
      </c>
      <c r="D195" s="14">
        <f>IF(C195="","",IF(C195=0,"",10000000/C195))</f>
        <v/>
      </c>
      <c r="E195" s="22">
        <f>IF(C195="","",C195/630)</f>
        <v/>
      </c>
      <c r="F195" s="23" t="n"/>
    </row>
    <row r="196" ht="15" customHeight="1">
      <c r="B196" s="27" t="n">
        <v>45485</v>
      </c>
      <c r="C196" s="21" t="n">
        <v>262</v>
      </c>
      <c r="D196" s="14">
        <f>IF(C196="","",IF(C196=0,"",10000000/C196))</f>
        <v/>
      </c>
      <c r="E196" s="22">
        <f>IF(C196="","",C196/630)</f>
        <v/>
      </c>
      <c r="F196" s="23" t="n"/>
    </row>
    <row r="197" ht="15" customHeight="1">
      <c r="B197" s="27" t="n">
        <v>45486</v>
      </c>
      <c r="C197" s="21" t="n">
        <v>261</v>
      </c>
      <c r="D197" s="14">
        <f>IF(C197="","",IF(C197=0,"",10000000/C197))</f>
        <v/>
      </c>
      <c r="E197" s="22">
        <f>IF(C197="","",C197/630)</f>
        <v/>
      </c>
      <c r="F197" s="23" t="n"/>
    </row>
    <row r="198" ht="15" customHeight="1">
      <c r="B198" s="27" t="n">
        <v>45487</v>
      </c>
      <c r="C198" s="21" t="n">
        <v>263</v>
      </c>
      <c r="D198" s="14">
        <f>IF(C198="","",IF(C198=0,"",10000000/C198))</f>
        <v/>
      </c>
      <c r="E198" s="22">
        <f>IF(C198="","",C198/630)</f>
        <v/>
      </c>
      <c r="F198" s="23" t="n"/>
    </row>
    <row r="199" ht="15" customHeight="1">
      <c r="B199" s="27" t="n">
        <v>45488</v>
      </c>
      <c r="C199" s="21" t="n">
        <v>259</v>
      </c>
      <c r="D199" s="14">
        <f>IF(C199="","",IF(C199=0,"",10000000/C199))</f>
        <v/>
      </c>
      <c r="E199" s="22">
        <f>IF(C199="","",C199/630)</f>
        <v/>
      </c>
      <c r="F199" s="23" t="n"/>
    </row>
    <row r="200" ht="15" customHeight="1">
      <c r="B200" s="27" t="n">
        <v>45489</v>
      </c>
      <c r="C200" s="21" t="n">
        <v>254</v>
      </c>
      <c r="D200" s="14">
        <f>IF(C200="","",IF(C200=0,"",10000000/C200))</f>
        <v/>
      </c>
      <c r="E200" s="22">
        <f>IF(C200="","",C200/630)</f>
        <v/>
      </c>
      <c r="F200" s="23" t="n"/>
    </row>
    <row r="201" ht="15" customHeight="1">
      <c r="B201" s="27" t="n">
        <v>45490</v>
      </c>
      <c r="C201" s="21" t="n">
        <v>256</v>
      </c>
      <c r="D201" s="14">
        <f>IF(C201="","",IF(C201=0,"",10000000/C201))</f>
        <v/>
      </c>
      <c r="E201" s="22">
        <f>IF(C201="","",C201/630)</f>
        <v/>
      </c>
      <c r="F201" s="23" t="n"/>
    </row>
    <row r="202" ht="15" customHeight="1">
      <c r="B202" s="27" t="n">
        <v>45491</v>
      </c>
      <c r="C202" s="21" t="n">
        <v>254</v>
      </c>
      <c r="D202" s="14">
        <f>IF(C202="","",IF(C202=0,"",10000000/C202))</f>
        <v/>
      </c>
      <c r="E202" s="22">
        <f>IF(C202="","",C202/630)</f>
        <v/>
      </c>
      <c r="F202" s="23" t="n"/>
    </row>
    <row r="203" ht="15" customHeight="1">
      <c r="B203" s="27" t="n">
        <v>45492</v>
      </c>
      <c r="C203" s="21" t="n">
        <v>252</v>
      </c>
      <c r="D203" s="14">
        <f>IF(C203="","",IF(C203=0,"",10000000/C203))</f>
        <v/>
      </c>
      <c r="E203" s="22">
        <f>IF(C203="","",C203/630)</f>
        <v/>
      </c>
      <c r="F203" s="23" t="n"/>
    </row>
    <row r="204" ht="15" customHeight="1">
      <c r="B204" s="27" t="n">
        <v>45493</v>
      </c>
      <c r="C204" s="21" t="n">
        <v>252</v>
      </c>
      <c r="D204" s="14">
        <f>IF(C204="","",IF(C204=0,"",10000000/C204))</f>
        <v/>
      </c>
      <c r="E204" s="22">
        <f>IF(C204="","",C204/630)</f>
        <v/>
      </c>
      <c r="F204" s="23" t="n"/>
    </row>
    <row r="205" ht="15" customHeight="1">
      <c r="B205" s="27" t="n">
        <v>45494</v>
      </c>
      <c r="C205" s="21" t="n">
        <v>254</v>
      </c>
      <c r="D205" s="14">
        <f>IF(C205="","",IF(C205=0,"",10000000/C205))</f>
        <v/>
      </c>
      <c r="E205" s="22">
        <f>IF(C205="","",C205/630)</f>
        <v/>
      </c>
      <c r="F205" s="23" t="n"/>
    </row>
    <row r="206" ht="15" customHeight="1">
      <c r="B206" s="27" t="n">
        <v>45495</v>
      </c>
      <c r="C206" s="21" t="n">
        <v>253</v>
      </c>
      <c r="D206" s="14">
        <f>IF(C206="","",IF(C206=0,"",10000000/C206))</f>
        <v/>
      </c>
      <c r="E206" s="22">
        <f>IF(C206="","",C206/630)</f>
        <v/>
      </c>
      <c r="F206" s="23" t="n"/>
    </row>
    <row r="207" ht="15" customHeight="1">
      <c r="B207" s="27" t="n">
        <v>45496</v>
      </c>
      <c r="C207" s="21" t="n">
        <v>246</v>
      </c>
      <c r="D207" s="14">
        <f>IF(C207="","",IF(C207=0,"",10000000/C207))</f>
        <v/>
      </c>
      <c r="E207" s="22">
        <f>IF(C207="","",C207/630)</f>
        <v/>
      </c>
      <c r="F207" s="23" t="n"/>
    </row>
    <row r="208" ht="15" customHeight="1">
      <c r="B208" s="27" t="n">
        <v>45497</v>
      </c>
      <c r="C208" s="21" t="n">
        <v>242</v>
      </c>
      <c r="D208" s="14">
        <f>IF(C208="","",IF(C208=0,"",10000000/C208))</f>
        <v/>
      </c>
      <c r="E208" s="22">
        <f>IF(C208="","",C208/630)</f>
        <v/>
      </c>
      <c r="F208" s="23" t="n"/>
    </row>
    <row r="209" ht="15" customHeight="1">
      <c r="B209" s="27" t="n">
        <v>45498</v>
      </c>
      <c r="C209" s="21" t="n">
        <v>245</v>
      </c>
      <c r="D209" s="14">
        <f>IF(C209="","",IF(C209=0,"",10000000/C209))</f>
        <v/>
      </c>
      <c r="E209" s="22">
        <f>IF(C209="","",C209/630)</f>
        <v/>
      </c>
      <c r="F209" s="23" t="n"/>
    </row>
    <row r="210" ht="15" customHeight="1">
      <c r="B210" s="27" t="n">
        <v>45499</v>
      </c>
      <c r="C210" s="21" t="n">
        <v>252</v>
      </c>
      <c r="D210" s="14">
        <f>IF(C210="","",IF(C210=0,"",10000000/C210))</f>
        <v/>
      </c>
      <c r="E210" s="22">
        <f>IF(C210="","",C210/630)</f>
        <v/>
      </c>
      <c r="F210" s="23" t="n"/>
    </row>
    <row r="211" ht="15" customHeight="1">
      <c r="B211" s="27" t="n">
        <v>45500</v>
      </c>
      <c r="C211" s="21" t="n">
        <v>252</v>
      </c>
      <c r="D211" s="14">
        <f>IF(C211="","",IF(C211=0,"",10000000/C211))</f>
        <v/>
      </c>
      <c r="E211" s="22">
        <f>IF(C211="","",C211/630)</f>
        <v/>
      </c>
      <c r="F211" s="23" t="n"/>
    </row>
    <row r="212" ht="15" customHeight="1">
      <c r="B212" s="27" t="n">
        <v>45501</v>
      </c>
      <c r="C212" s="21" t="n">
        <v>256</v>
      </c>
      <c r="D212" s="14">
        <f>IF(C212="","",IF(C212=0,"",10000000/C212))</f>
        <v/>
      </c>
      <c r="E212" s="22">
        <f>IF(C212="","",C212/630)</f>
        <v/>
      </c>
      <c r="F212" s="23" t="n"/>
    </row>
    <row r="213" ht="15" customHeight="1">
      <c r="B213" s="27" t="n">
        <v>45502</v>
      </c>
      <c r="C213" s="21" t="n">
        <v>266</v>
      </c>
      <c r="D213" s="14">
        <f>IF(C213="","",IF(C213=0,"",10000000/C213))</f>
        <v/>
      </c>
      <c r="E213" s="22">
        <f>IF(C213="","",C213/630)</f>
        <v/>
      </c>
      <c r="F213" s="23" t="n"/>
    </row>
    <row r="214" ht="15" customHeight="1">
      <c r="B214" s="27" t="n">
        <v>45503</v>
      </c>
      <c r="C214" s="21" t="n">
        <v>268</v>
      </c>
      <c r="D214" s="14">
        <f>IF(C214="","",IF(C214=0,"",10000000/C214))</f>
        <v/>
      </c>
      <c r="E214" s="22">
        <f>IF(C214="","",C214/630)</f>
        <v/>
      </c>
      <c r="F214" s="23" t="n"/>
    </row>
    <row r="215" ht="15" customHeight="1">
      <c r="B215" s="27" t="n">
        <v>45504</v>
      </c>
      <c r="C215" s="21" t="n">
        <v>269</v>
      </c>
      <c r="D215" s="14">
        <f>IF(C215="","",IF(C215=0,"",10000000/C215))</f>
        <v/>
      </c>
      <c r="E215" s="22">
        <f>IF(C215="","",C215/630)</f>
        <v/>
      </c>
      <c r="F215" s="23" t="n"/>
    </row>
    <row r="216" ht="15" customHeight="1">
      <c r="B216" s="27" t="n">
        <v>45505</v>
      </c>
      <c r="C216" s="21" t="n">
        <v>271</v>
      </c>
      <c r="D216" s="14">
        <f>IF(C216="","",IF(C216=0,"",10000000/C216))</f>
        <v/>
      </c>
      <c r="E216" s="22">
        <f>IF(C216="","",C216/630)</f>
        <v/>
      </c>
      <c r="F216" s="23" t="n"/>
    </row>
    <row r="217" ht="15" customHeight="1">
      <c r="B217" s="27" t="n">
        <v>45506</v>
      </c>
      <c r="C217" s="21" t="n">
        <v>268</v>
      </c>
      <c r="D217" s="14">
        <f>IF(C217="","",IF(C217=0,"",10000000/C217))</f>
        <v/>
      </c>
      <c r="E217" s="22">
        <f>IF(C217="","",C217/630)</f>
        <v/>
      </c>
      <c r="F217" s="23" t="n"/>
    </row>
    <row r="218" ht="15" customHeight="1">
      <c r="B218" s="27" t="n">
        <v>45507</v>
      </c>
      <c r="C218" s="21" t="n">
        <v>268</v>
      </c>
      <c r="D218" s="14">
        <f>IF(C218="","",IF(C218=0,"",10000000/C218))</f>
        <v/>
      </c>
      <c r="E218" s="22">
        <f>IF(C218="","",C218/630)</f>
        <v/>
      </c>
      <c r="F218" s="23" t="n"/>
    </row>
    <row r="219" ht="15" customHeight="1">
      <c r="B219" s="27" t="n">
        <v>45508</v>
      </c>
      <c r="C219" s="21" t="n">
        <v>265</v>
      </c>
      <c r="D219" s="14">
        <f>IF(C219="","",IF(C219=0,"",10000000/C219))</f>
        <v/>
      </c>
      <c r="E219" s="22">
        <f>IF(C219="","",C219/630)</f>
        <v/>
      </c>
      <c r="F219" s="23" t="n"/>
    </row>
    <row r="220" ht="15" customHeight="1">
      <c r="B220" s="27" t="n">
        <v>45509</v>
      </c>
      <c r="C220" s="21" t="n">
        <v>265</v>
      </c>
      <c r="D220" s="14">
        <f>IF(C220="","",IF(C220=0,"",10000000/C220))</f>
        <v/>
      </c>
      <c r="E220" s="22">
        <f>IF(C220="","",C220/630)</f>
        <v/>
      </c>
      <c r="F220" s="23" t="n"/>
    </row>
    <row r="221" ht="15" customHeight="1">
      <c r="B221" s="27" t="n">
        <v>45510</v>
      </c>
      <c r="C221" s="21" t="n">
        <v>282</v>
      </c>
      <c r="D221" s="14">
        <f>IF(C221="","",IF(C221=0,"",10000000/C221))</f>
        <v/>
      </c>
      <c r="E221" s="22">
        <f>IF(C221="","",C221/630)</f>
        <v/>
      </c>
      <c r="F221" s="23" t="n"/>
    </row>
    <row r="222" ht="15" customHeight="1">
      <c r="B222" s="27" t="n">
        <v>45511</v>
      </c>
      <c r="C222" s="21" t="n">
        <v>310</v>
      </c>
      <c r="D222" s="14">
        <f>IF(C222="","",IF(C222=0,"",10000000/C222))</f>
        <v/>
      </c>
      <c r="E222" s="22">
        <f>IF(C222="","",C222/630)</f>
        <v/>
      </c>
      <c r="F222" s="23" t="n"/>
    </row>
    <row r="223" ht="15" customHeight="1">
      <c r="B223" s="27" t="n">
        <v>45512</v>
      </c>
      <c r="C223" s="21" t="n">
        <v>316</v>
      </c>
      <c r="D223" s="14">
        <f>IF(C223="","",IF(C223=0,"",10000000/C223))</f>
        <v/>
      </c>
      <c r="E223" s="22">
        <f>IF(C223="","",C223/630)</f>
        <v/>
      </c>
      <c r="F223" s="23" t="n"/>
    </row>
    <row r="224" ht="15" customHeight="1">
      <c r="B224" s="27" t="n">
        <v>45513</v>
      </c>
      <c r="C224" s="21" t="n">
        <v>318</v>
      </c>
      <c r="D224" s="14">
        <f>IF(C224="","",IF(C224=0,"",10000000/C224))</f>
        <v/>
      </c>
      <c r="E224" s="22">
        <f>IF(C224="","",C224/630)</f>
        <v/>
      </c>
      <c r="F224" s="23" t="n"/>
    </row>
    <row r="225" ht="15" customHeight="1">
      <c r="B225" s="27" t="n">
        <v>45514</v>
      </c>
      <c r="C225" s="21" t="n">
        <v>318</v>
      </c>
      <c r="D225" s="14">
        <f>IF(C225="","",IF(C225=0,"",10000000/C225))</f>
        <v/>
      </c>
      <c r="E225" s="22">
        <f>IF(C225="","",C225/630)</f>
        <v/>
      </c>
      <c r="F225" s="23" t="n"/>
    </row>
    <row r="226" ht="15" customHeight="1">
      <c r="B226" s="27" t="n">
        <v>45515</v>
      </c>
      <c r="C226" s="21" t="n">
        <v>319</v>
      </c>
      <c r="D226" s="14">
        <f>IF(C226="","",IF(C226=0,"",10000000/C226))</f>
        <v/>
      </c>
      <c r="E226" s="22">
        <f>IF(C226="","",C226/630)</f>
        <v/>
      </c>
      <c r="F226" s="23" t="n"/>
    </row>
    <row r="227" ht="15" customHeight="1">
      <c r="B227" s="27" t="n">
        <v>45516</v>
      </c>
      <c r="C227" s="21" t="n">
        <v>319</v>
      </c>
      <c r="D227" s="14">
        <f>IF(C227="","",IF(C227=0,"",10000000/C227))</f>
        <v/>
      </c>
      <c r="E227" s="22">
        <f>IF(C227="","",C227/630)</f>
        <v/>
      </c>
      <c r="F227" s="23" t="n"/>
    </row>
    <row r="228" ht="15" customHeight="1">
      <c r="B228" s="27" t="n">
        <v>45517</v>
      </c>
      <c r="C228" s="21" t="n">
        <v>310</v>
      </c>
      <c r="D228" s="14">
        <f>IF(C228="","",IF(C228=0,"",10000000/C228))</f>
        <v/>
      </c>
      <c r="E228" s="22">
        <f>IF(C228="","",C228/630)</f>
        <v/>
      </c>
      <c r="F228" s="23" t="n"/>
    </row>
    <row r="229" ht="15" customHeight="1">
      <c r="B229" s="27" t="n">
        <v>45518</v>
      </c>
      <c r="C229" s="21" t="n">
        <v>305</v>
      </c>
      <c r="D229" s="14">
        <f>IF(C229="","",IF(C229=0,"",10000000/C229))</f>
        <v/>
      </c>
      <c r="E229" s="22">
        <f>IF(C229="","",C229/630)</f>
        <v/>
      </c>
      <c r="F229" s="23" t="n"/>
    </row>
    <row r="230" ht="15" customHeight="1">
      <c r="B230" s="27" t="n">
        <v>45519</v>
      </c>
      <c r="C230" s="21" t="n">
        <v>294</v>
      </c>
      <c r="D230" s="14">
        <f>IF(C230="","",IF(C230=0,"",10000000/C230))</f>
        <v/>
      </c>
      <c r="E230" s="22">
        <f>IF(C230="","",C230/630)</f>
        <v/>
      </c>
      <c r="F230" s="23" t="n"/>
    </row>
    <row r="231" ht="15" customHeight="1">
      <c r="B231" s="27" t="n">
        <v>45520</v>
      </c>
      <c r="C231" s="21" t="n">
        <v>292</v>
      </c>
      <c r="D231" s="14">
        <f>IF(C231="","",IF(C231=0,"",10000000/C231))</f>
        <v/>
      </c>
      <c r="E231" s="22">
        <f>IF(C231="","",C231/630)</f>
        <v/>
      </c>
      <c r="F231" s="23" t="n"/>
    </row>
    <row r="232" ht="15" customHeight="1">
      <c r="B232" s="27" t="n">
        <v>45521</v>
      </c>
      <c r="C232" s="21" t="n">
        <v>292</v>
      </c>
      <c r="D232" s="14">
        <f>IF(C232="","",IF(C232=0,"",10000000/C232))</f>
        <v/>
      </c>
      <c r="E232" s="22">
        <f>IF(C232="","",C232/630)</f>
        <v/>
      </c>
      <c r="F232" s="23" t="n"/>
    </row>
    <row r="233" ht="15" customHeight="1">
      <c r="B233" s="27" t="n">
        <v>45522</v>
      </c>
      <c r="C233" s="21" t="n">
        <v>295</v>
      </c>
      <c r="D233" s="14">
        <f>IF(C233="","",IF(C233=0,"",10000000/C233))</f>
        <v/>
      </c>
      <c r="E233" s="22">
        <f>IF(C233="","",C233/630)</f>
        <v/>
      </c>
      <c r="F233" s="23" t="n"/>
    </row>
    <row r="234" ht="15" customHeight="1">
      <c r="B234" s="27" t="n">
        <v>45523</v>
      </c>
      <c r="C234" s="21" t="n">
        <v>291</v>
      </c>
      <c r="D234" s="14">
        <f>IF(C234="","",IF(C234=0,"",10000000/C234))</f>
        <v/>
      </c>
      <c r="E234" s="22">
        <f>IF(C234="","",C234/630)</f>
        <v/>
      </c>
      <c r="F234" s="23" t="n"/>
    </row>
    <row r="235" ht="15" customHeight="1">
      <c r="B235" s="27" t="n">
        <v>45524</v>
      </c>
      <c r="C235" s="21" t="n">
        <v>293</v>
      </c>
      <c r="D235" s="14">
        <f>IF(C235="","",IF(C235=0,"",10000000/C235))</f>
        <v/>
      </c>
      <c r="E235" s="22">
        <f>IF(C235="","",C235/630)</f>
        <v/>
      </c>
      <c r="F235" s="23" t="n"/>
    </row>
    <row r="236" ht="15" customHeight="1">
      <c r="B236" s="27" t="n">
        <v>45525</v>
      </c>
      <c r="C236" s="21" t="n">
        <v>290</v>
      </c>
      <c r="D236" s="14">
        <f>IF(C236="","",IF(C236=0,"",10000000/C236))</f>
        <v/>
      </c>
      <c r="E236" s="22">
        <f>IF(C236="","",C236/630)</f>
        <v/>
      </c>
      <c r="F236" s="23" t="n"/>
    </row>
    <row r="237" ht="15" customHeight="1">
      <c r="B237" s="27" t="n">
        <v>45526</v>
      </c>
      <c r="C237" s="21" t="n">
        <v>290</v>
      </c>
      <c r="D237" s="14">
        <f>IF(C237="","",IF(C237=0,"",10000000/C237))</f>
        <v/>
      </c>
      <c r="E237" s="22">
        <f>IF(C237="","",C237/630)</f>
        <v/>
      </c>
      <c r="F237" s="23" t="n"/>
    </row>
    <row r="238" ht="15" customHeight="1">
      <c r="B238" s="27" t="n">
        <v>45527</v>
      </c>
      <c r="C238" s="21" t="n">
        <v>286</v>
      </c>
      <c r="D238" s="14">
        <f>IF(C238="","",IF(C238=0,"",10000000/C238))</f>
        <v/>
      </c>
      <c r="E238" s="22">
        <f>IF(C238="","",C238/630)</f>
        <v/>
      </c>
      <c r="F238" s="23" t="n"/>
    </row>
    <row r="239" ht="15" customHeight="1">
      <c r="B239" s="27" t="n">
        <v>45528</v>
      </c>
      <c r="C239" s="21" t="n">
        <v>286</v>
      </c>
      <c r="D239" s="14">
        <f>IF(C239="","",IF(C239=0,"",10000000/C239))</f>
        <v/>
      </c>
      <c r="E239" s="22">
        <f>IF(C239="","",C239/630)</f>
        <v/>
      </c>
      <c r="F239" s="23" t="n"/>
    </row>
    <row r="240" ht="15" customHeight="1">
      <c r="B240" s="27" t="n">
        <v>45529</v>
      </c>
      <c r="C240" s="21" t="n">
        <v>295</v>
      </c>
      <c r="D240" s="14">
        <f>IF(C240="","",IF(C240=0,"",10000000/C240))</f>
        <v/>
      </c>
      <c r="E240" s="22">
        <f>IF(C240="","",C240/630)</f>
        <v/>
      </c>
      <c r="F240" s="23" t="n"/>
    </row>
    <row r="241" ht="15" customHeight="1">
      <c r="B241" s="27" t="n">
        <v>45530</v>
      </c>
      <c r="C241" s="21" t="n">
        <v>295</v>
      </c>
      <c r="D241" s="14">
        <f>IF(C241="","",IF(C241=0,"",10000000/C241))</f>
        <v/>
      </c>
      <c r="E241" s="22">
        <f>IF(C241="","",C241/630)</f>
        <v/>
      </c>
      <c r="F241" s="23" t="n"/>
    </row>
    <row r="242" ht="15" customHeight="1">
      <c r="B242" s="27" t="n">
        <v>45531</v>
      </c>
      <c r="C242" s="21" t="n">
        <v>292</v>
      </c>
      <c r="D242" s="14">
        <f>IF(C242="","",IF(C242=0,"",10000000/C242))</f>
        <v/>
      </c>
      <c r="E242" s="22">
        <f>IF(C242="","",C242/630)</f>
        <v/>
      </c>
      <c r="F242" s="23" t="n"/>
    </row>
    <row r="243" ht="15" customHeight="1">
      <c r="B243" s="27" t="n">
        <v>45532</v>
      </c>
      <c r="C243" s="21" t="n">
        <v>285</v>
      </c>
      <c r="D243" s="14">
        <f>IF(C243="","",IF(C243=0,"",10000000/C243))</f>
        <v/>
      </c>
      <c r="E243" s="22">
        <f>IF(C243="","",C243/630)</f>
        <v/>
      </c>
      <c r="F243" s="23" t="n"/>
    </row>
    <row r="244" ht="15" customHeight="1">
      <c r="B244" s="27" t="n">
        <v>45533</v>
      </c>
      <c r="C244" s="21" t="n">
        <v>284</v>
      </c>
      <c r="D244" s="14">
        <f>IF(C244="","",IF(C244=0,"",10000000/C244))</f>
        <v/>
      </c>
      <c r="E244" s="22">
        <f>IF(C244="","",C244/630)</f>
        <v/>
      </c>
      <c r="F244" s="23" t="n"/>
    </row>
    <row r="245" ht="15" customHeight="1">
      <c r="B245" s="27" t="n">
        <v>45534</v>
      </c>
      <c r="C245" s="21" t="n">
        <v>285</v>
      </c>
      <c r="D245" s="14">
        <f>IF(C245="","",IF(C245=0,"",10000000/C245))</f>
        <v/>
      </c>
      <c r="E245" s="22">
        <f>IF(C245="","",C245/630)</f>
        <v/>
      </c>
      <c r="F245" s="23" t="n"/>
    </row>
    <row r="246" ht="15" customHeight="1">
      <c r="B246" s="27" t="n">
        <v>45535</v>
      </c>
      <c r="C246" s="21" t="n">
        <v>297</v>
      </c>
      <c r="D246" s="14">
        <f>IF(C246="","",IF(C246=0,"",10000000/C246))</f>
        <v/>
      </c>
      <c r="E246" s="22">
        <f>IF(C246="","",C246/630)</f>
        <v/>
      </c>
      <c r="F246" s="23" t="n"/>
    </row>
    <row r="247" ht="15" customHeight="1">
      <c r="B247" s="27" t="n">
        <v>45536</v>
      </c>
      <c r="C247" s="21" t="n">
        <v>294</v>
      </c>
      <c r="D247" s="14">
        <f>IF(C247="","",IF(C247=0,"",10000000/C247))</f>
        <v/>
      </c>
      <c r="E247" s="22">
        <f>IF(C247="","",C247/630)</f>
        <v/>
      </c>
      <c r="F247" s="23" t="n"/>
    </row>
    <row r="248" ht="15" customHeight="1">
      <c r="B248" s="27" t="n">
        <v>45537</v>
      </c>
      <c r="C248" s="21" t="n">
        <v>295</v>
      </c>
      <c r="D248" s="14">
        <f>IF(C248="","",IF(C248=0,"",10000000/C248))</f>
        <v/>
      </c>
      <c r="E248" s="22">
        <f>IF(C248="","",C248/630)</f>
        <v/>
      </c>
      <c r="F248" s="23" t="n"/>
    </row>
    <row r="249" ht="15" customHeight="1">
      <c r="B249" s="27" t="n">
        <v>45538</v>
      </c>
      <c r="C249" s="21" t="n">
        <v>297</v>
      </c>
      <c r="D249" s="14">
        <f>IF(C249="","",IF(C249=0,"",10000000/C249))</f>
        <v/>
      </c>
      <c r="E249" s="22">
        <f>IF(C249="","",C249/630)</f>
        <v/>
      </c>
      <c r="F249" s="23" t="n"/>
    </row>
    <row r="250" ht="15" customHeight="1">
      <c r="B250" s="27" t="n">
        <v>45539</v>
      </c>
      <c r="C250" s="21" t="n">
        <v>297</v>
      </c>
      <c r="D250" s="14">
        <f>IF(C250="","",IF(C250=0,"",10000000/C250))</f>
        <v/>
      </c>
      <c r="E250" s="22">
        <f>IF(C250="","",C250/630)</f>
        <v/>
      </c>
      <c r="F250" s="23" t="n"/>
    </row>
    <row r="251" ht="15" customHeight="1">
      <c r="B251" s="27" t="n">
        <v>45540</v>
      </c>
      <c r="C251" s="21" t="n">
        <v>294</v>
      </c>
      <c r="D251" s="14">
        <f>IF(C251="","",IF(C251=0,"",10000000/C251))</f>
        <v/>
      </c>
      <c r="E251" s="22">
        <f>IF(C251="","",C251/630)</f>
        <v/>
      </c>
      <c r="F251" s="23" t="n"/>
    </row>
    <row r="252" ht="15" customHeight="1">
      <c r="B252" s="27" t="n">
        <v>45541</v>
      </c>
      <c r="C252" s="21" t="n">
        <v>292</v>
      </c>
      <c r="D252" s="14">
        <f>IF(C252="","",IF(C252=0,"",10000000/C252))</f>
        <v/>
      </c>
      <c r="E252" s="22">
        <f>IF(C252="","",C252/630)</f>
        <v/>
      </c>
      <c r="F252" s="23" t="n"/>
    </row>
    <row r="253" ht="15" customHeight="1">
      <c r="B253" s="27" t="n">
        <v>45542</v>
      </c>
      <c r="C253" s="21" t="n">
        <v>293</v>
      </c>
      <c r="D253" s="14">
        <f>IF(C253="","",IF(C253=0,"",10000000/C253))</f>
        <v/>
      </c>
      <c r="E253" s="22">
        <f>IF(C253="","",C253/630)</f>
        <v/>
      </c>
      <c r="F253" s="23" t="n"/>
    </row>
    <row r="254" ht="15" customHeight="1">
      <c r="B254" s="27" t="n">
        <v>45543</v>
      </c>
      <c r="C254" s="21" t="n">
        <v>294</v>
      </c>
      <c r="D254" s="14">
        <f>IF(C254="","",IF(C254=0,"",10000000/C254))</f>
        <v/>
      </c>
      <c r="E254" s="22">
        <f>IF(C254="","",C254/630)</f>
        <v/>
      </c>
      <c r="F254" s="23" t="n"/>
    </row>
    <row r="255" ht="15" customHeight="1">
      <c r="B255" s="27" t="n">
        <v>45544</v>
      </c>
      <c r="C255" s="21" t="n">
        <v>294</v>
      </c>
      <c r="D255" s="14">
        <f>IF(C255="","",IF(C255=0,"",10000000/C255))</f>
        <v/>
      </c>
      <c r="E255" s="22">
        <f>IF(C255="","",C255/630)</f>
        <v/>
      </c>
      <c r="F255" s="23" t="n"/>
    </row>
    <row r="256" ht="15" customHeight="1">
      <c r="B256" s="27" t="n">
        <v>45545</v>
      </c>
      <c r="C256" s="21" t="n">
        <v>296</v>
      </c>
      <c r="D256" s="14">
        <f>IF(C256="","",IF(C256=0,"",10000000/C256))</f>
        <v/>
      </c>
      <c r="E256" s="22">
        <f>IF(C256="","",C256/630)</f>
        <v/>
      </c>
      <c r="F256" s="23" t="n"/>
    </row>
    <row r="257" ht="15" customHeight="1">
      <c r="B257" s="27" t="n">
        <v>45546</v>
      </c>
      <c r="C257" s="21" t="n">
        <v>298</v>
      </c>
      <c r="D257" s="14">
        <f>IF(C257="","",IF(C257=0,"",10000000/C257))</f>
        <v/>
      </c>
      <c r="E257" s="22">
        <f>IF(C257="","",C257/630)</f>
        <v/>
      </c>
      <c r="F257" s="23" t="n"/>
    </row>
    <row r="258" ht="15" customHeight="1">
      <c r="B258" s="27" t="n">
        <v>45547</v>
      </c>
      <c r="C258" s="21" t="n">
        <v>303</v>
      </c>
      <c r="D258" s="14">
        <f>IF(C258="","",IF(C258=0,"",10000000/C258))</f>
        <v/>
      </c>
      <c r="E258" s="22">
        <f>IF(C258="","",C258/630)</f>
        <v/>
      </c>
      <c r="F258" s="23" t="n"/>
    </row>
    <row r="259" ht="15" customHeight="1">
      <c r="B259" s="27" t="n">
        <v>45548</v>
      </c>
      <c r="C259" s="21" t="n">
        <v>302</v>
      </c>
      <c r="D259" s="14">
        <f>IF(C259="","",IF(C259=0,"",10000000/C259))</f>
        <v/>
      </c>
      <c r="E259" s="22">
        <f>IF(C259="","",C259/630)</f>
        <v/>
      </c>
      <c r="F259" s="23" t="n"/>
    </row>
    <row r="260" ht="15" customHeight="1">
      <c r="B260" s="27" t="n">
        <v>45549</v>
      </c>
      <c r="C260" s="21" t="n">
        <v>302</v>
      </c>
      <c r="D260" s="14">
        <f>IF(C260="","",IF(C260=0,"",10000000/C260))</f>
        <v/>
      </c>
      <c r="E260" s="22">
        <f>IF(C260="","",C260/630)</f>
        <v/>
      </c>
      <c r="F260" s="23" t="n"/>
    </row>
    <row r="261" ht="15" customHeight="1">
      <c r="B261" s="27" t="n">
        <v>45550</v>
      </c>
      <c r="C261" s="21" t="n">
        <v>300</v>
      </c>
      <c r="D261" s="14">
        <f>IF(C261="","",IF(C261=0,"",10000000/C261))</f>
        <v/>
      </c>
      <c r="E261" s="22">
        <f>IF(C261="","",C261/630)</f>
        <v/>
      </c>
      <c r="F261" s="23" t="n"/>
    </row>
    <row r="262" ht="15" customHeight="1">
      <c r="B262" s="27" t="n">
        <v>45551</v>
      </c>
      <c r="C262" s="21" t="n">
        <v>300</v>
      </c>
      <c r="D262" s="14">
        <f>IF(C262="","",IF(C262=0,"",10000000/C262))</f>
        <v/>
      </c>
      <c r="E262" s="22">
        <f>IF(C262="","",C262/630)</f>
        <v/>
      </c>
      <c r="F262" s="23" t="n"/>
    </row>
    <row r="263" ht="15" customHeight="1">
      <c r="B263" s="27" t="n">
        <v>45552</v>
      </c>
      <c r="C263" s="21" t="n">
        <v>296</v>
      </c>
      <c r="D263" s="14">
        <f>IF(C263="","",IF(C263=0,"",10000000/C263))</f>
        <v/>
      </c>
      <c r="E263" s="22">
        <f>IF(C263="","",C263/630)</f>
        <v/>
      </c>
      <c r="F263" s="23" t="n"/>
    </row>
    <row r="264" ht="15" customHeight="1">
      <c r="B264" s="27" t="n">
        <v>45553</v>
      </c>
      <c r="C264" s="21" t="n">
        <v>295</v>
      </c>
      <c r="D264" s="14">
        <f>IF(C264="","",IF(C264=0,"",10000000/C264))</f>
        <v/>
      </c>
      <c r="E264" s="22">
        <f>IF(C264="","",C264/630)</f>
        <v/>
      </c>
      <c r="F264" s="23" t="n"/>
    </row>
    <row r="265" ht="15" customHeight="1">
      <c r="B265" s="27" t="n">
        <v>45554</v>
      </c>
      <c r="C265" s="21" t="n">
        <v>292</v>
      </c>
      <c r="D265" s="14">
        <f>IF(C265="","",IF(C265=0,"",10000000/C265))</f>
        <v/>
      </c>
      <c r="E265" s="22">
        <f>IF(C265="","",C265/630)</f>
        <v/>
      </c>
      <c r="F265" s="23" t="n"/>
    </row>
    <row r="266" ht="15" customHeight="1">
      <c r="B266" s="27" t="n">
        <v>45555</v>
      </c>
      <c r="C266" s="21" t="n">
        <v>291</v>
      </c>
      <c r="D266" s="14">
        <f>IF(C266="","",IF(C266=0,"",10000000/C266))</f>
        <v/>
      </c>
      <c r="E266" s="22">
        <f>IF(C266="","",C266/630)</f>
        <v/>
      </c>
      <c r="F266" s="23" t="n"/>
    </row>
    <row r="267" ht="15" customHeight="1">
      <c r="B267" s="27" t="n">
        <v>45556</v>
      </c>
      <c r="C267" s="21" t="n">
        <v>291</v>
      </c>
      <c r="D267" s="14">
        <f>IF(C267="","",IF(C267=0,"",10000000/C267))</f>
        <v/>
      </c>
      <c r="E267" s="22">
        <f>IF(C267="","",C267/630)</f>
        <v/>
      </c>
      <c r="F267" s="23" t="n"/>
    </row>
    <row r="268" ht="15" customHeight="1">
      <c r="B268" s="27" t="n">
        <v>45557</v>
      </c>
      <c r="C268" s="21" t="n">
        <v>296</v>
      </c>
      <c r="D268" s="14">
        <f>IF(C268="","",IF(C268=0,"",10000000/C268))</f>
        <v/>
      </c>
      <c r="E268" s="22">
        <f>IF(C268="","",C268/630)</f>
        <v/>
      </c>
      <c r="F268" s="23" t="n"/>
    </row>
    <row r="269" ht="15" customHeight="1">
      <c r="B269" s="27" t="n">
        <v>45558</v>
      </c>
      <c r="C269" s="21" t="n">
        <v>299</v>
      </c>
      <c r="D269" s="14">
        <f>IF(C269="","",IF(C269=0,"",10000000/C269))</f>
        <v/>
      </c>
      <c r="E269" s="22">
        <f>IF(C269="","",C269/630)</f>
        <v/>
      </c>
      <c r="F269" s="23" t="n"/>
    </row>
    <row r="270" ht="15" customHeight="1">
      <c r="B270" s="27" t="n">
        <v>45559</v>
      </c>
      <c r="C270" s="21" t="n">
        <v>300</v>
      </c>
      <c r="D270" s="14">
        <f>IF(C270="","",IF(C270=0,"",10000000/C270))</f>
        <v/>
      </c>
      <c r="E270" s="22">
        <f>IF(C270="","",C270/630)</f>
        <v/>
      </c>
      <c r="F270" s="23" t="n"/>
    </row>
    <row r="271" ht="15" customHeight="1">
      <c r="B271" s="27" t="n">
        <v>45560</v>
      </c>
      <c r="C271" s="21" t="n">
        <v>302</v>
      </c>
      <c r="D271" s="14">
        <f>IF(C271="","",IF(C271=0,"",10000000/C271))</f>
        <v/>
      </c>
      <c r="E271" s="22">
        <f>IF(C271="","",C271/630)</f>
        <v/>
      </c>
      <c r="F271" s="23" t="n"/>
    </row>
    <row r="272" ht="15" customHeight="1">
      <c r="B272" s="27" t="n">
        <v>45561</v>
      </c>
      <c r="C272" s="21" t="n">
        <v>307</v>
      </c>
      <c r="D272" s="14">
        <f>IF(C272="","",IF(C272=0,"",10000000/C272))</f>
        <v/>
      </c>
      <c r="E272" s="22">
        <f>IF(C272="","",C272/630)</f>
        <v/>
      </c>
      <c r="F272" s="23" t="n"/>
    </row>
    <row r="273" ht="15" customHeight="1">
      <c r="B273" s="27" t="n">
        <v>45562</v>
      </c>
      <c r="C273" s="21" t="n">
        <v>307</v>
      </c>
      <c r="D273" s="14">
        <f>IF(C273="","",IF(C273=0,"",10000000/C273))</f>
        <v/>
      </c>
      <c r="E273" s="22">
        <f>IF(C273="","",C273/630)</f>
        <v/>
      </c>
      <c r="F273" s="23" t="n"/>
    </row>
    <row r="274" ht="15" customHeight="1">
      <c r="B274" s="27" t="n">
        <v>45563</v>
      </c>
      <c r="C274" s="21" t="n">
        <v>307</v>
      </c>
      <c r="D274" s="14">
        <f>IF(C274="","",IF(C274=0,"",10000000/C274))</f>
        <v/>
      </c>
      <c r="E274" s="22">
        <f>IF(C274="","",C274/630)</f>
        <v/>
      </c>
      <c r="F274" s="23" t="n"/>
    </row>
    <row r="275" ht="15" customHeight="1">
      <c r="B275" s="27" t="n">
        <v>45564</v>
      </c>
      <c r="C275" s="21" t="n">
        <v>309</v>
      </c>
      <c r="D275" s="14">
        <f>IF(C275="","",IF(C275=0,"",10000000/C275))</f>
        <v/>
      </c>
      <c r="E275" s="22">
        <f>IF(C275="","",C275/630)</f>
        <v/>
      </c>
      <c r="F275" s="23" t="n"/>
    </row>
    <row r="276" ht="15" customHeight="1">
      <c r="B276" s="27" t="n">
        <v>45565</v>
      </c>
      <c r="C276" s="21" t="n">
        <v>317</v>
      </c>
      <c r="D276" s="14">
        <f>IF(C276="","",IF(C276=0,"",10000000/C276))</f>
        <v/>
      </c>
      <c r="E276" s="22">
        <f>IF(C276="","",C276/630)</f>
        <v/>
      </c>
      <c r="F276" s="23" t="n"/>
    </row>
    <row r="277" ht="15" customHeight="1">
      <c r="B277" s="27" t="n">
        <v>45566</v>
      </c>
      <c r="C277" s="21" t="n">
        <v>315</v>
      </c>
      <c r="D277" s="14">
        <f>IF(C277="","",IF(C277=0,"",10000000/C277))</f>
        <v/>
      </c>
      <c r="E277" s="22">
        <f>IF(C277="","",C277/630)</f>
        <v/>
      </c>
      <c r="F277" s="23" t="n"/>
    </row>
    <row r="278" ht="15" customHeight="1">
      <c r="B278" s="27" t="n">
        <v>45567</v>
      </c>
      <c r="C278" s="21" t="n">
        <v>313</v>
      </c>
      <c r="D278" s="14">
        <f>IF(C278="","",IF(C278=0,"",10000000/C278))</f>
        <v/>
      </c>
      <c r="E278" s="22">
        <f>IF(C278="","",C278/630)</f>
        <v/>
      </c>
      <c r="F278" s="23" t="n"/>
    </row>
    <row r="279" ht="15" customHeight="1">
      <c r="B279" s="27" t="n">
        <v>45568</v>
      </c>
      <c r="C279" s="21" t="n">
        <v>314</v>
      </c>
      <c r="D279" s="14">
        <f>IF(C279="","",IF(C279=0,"",10000000/C279))</f>
        <v/>
      </c>
      <c r="E279" s="22">
        <f>IF(C279="","",C279/630)</f>
        <v/>
      </c>
      <c r="F279" s="23" t="n"/>
    </row>
    <row r="280" ht="15" customHeight="1">
      <c r="B280" s="27" t="n">
        <v>45569</v>
      </c>
      <c r="C280" s="21" t="n">
        <v>318</v>
      </c>
      <c r="D280" s="14">
        <f>IF(C280="","",IF(C280=0,"",10000000/C280))</f>
        <v/>
      </c>
      <c r="E280" s="22">
        <f>IF(C280="","",C280/630)</f>
        <v/>
      </c>
      <c r="F280" s="23" t="n"/>
    </row>
    <row r="281" ht="15" customHeight="1">
      <c r="B281" s="27" t="n">
        <v>45570</v>
      </c>
      <c r="C281" s="21" t="n">
        <v>318</v>
      </c>
      <c r="D281" s="14">
        <f>IF(C281="","",IF(C281=0,"",10000000/C281))</f>
        <v/>
      </c>
      <c r="E281" s="22">
        <f>IF(C281="","",C281/630)</f>
        <v/>
      </c>
      <c r="F281" s="23" t="n"/>
    </row>
    <row r="282" ht="15" customHeight="1">
      <c r="B282" s="27" t="n">
        <v>45571</v>
      </c>
      <c r="C282" s="21" t="n">
        <v>323</v>
      </c>
      <c r="D282" s="14">
        <f>IF(C282="","",IF(C282=0,"",10000000/C282))</f>
        <v/>
      </c>
      <c r="E282" s="22">
        <f>IF(C282="","",C282/630)</f>
        <v/>
      </c>
      <c r="F282" s="23" t="n"/>
    </row>
    <row r="283" ht="15" customHeight="1">
      <c r="B283" s="27" t="n">
        <v>45572</v>
      </c>
      <c r="C283" s="21" t="n">
        <v>320</v>
      </c>
      <c r="D283" s="14">
        <f>IF(C283="","",IF(C283=0,"",10000000/C283))</f>
        <v/>
      </c>
      <c r="E283" s="22">
        <f>IF(C283="","",C283/630)</f>
        <v/>
      </c>
      <c r="F283" s="23" t="n"/>
    </row>
    <row r="284" ht="15" customHeight="1">
      <c r="B284" s="27" t="n">
        <v>45573</v>
      </c>
      <c r="C284" s="21" t="n">
        <v>321</v>
      </c>
      <c r="D284" s="14">
        <f>IF(C284="","",IF(C284=0,"",10000000/C284))</f>
        <v/>
      </c>
      <c r="E284" s="22">
        <f>IF(C284="","",C284/630)</f>
        <v/>
      </c>
      <c r="F284" s="23" t="n"/>
    </row>
    <row r="285" ht="15" customHeight="1">
      <c r="B285" s="27" t="n">
        <v>45574</v>
      </c>
      <c r="C285" s="21" t="n">
        <v>325</v>
      </c>
      <c r="D285" s="14">
        <f>IF(C285="","",IF(C285=0,"",10000000/C285))</f>
        <v/>
      </c>
      <c r="E285" s="22">
        <f>IF(C285="","",C285/630)</f>
        <v/>
      </c>
      <c r="F285" s="23" t="n"/>
    </row>
    <row r="286" ht="15" customHeight="1">
      <c r="B286" s="27" t="n">
        <v>45575</v>
      </c>
      <c r="C286" s="21" t="n">
        <v>323</v>
      </c>
      <c r="D286" s="14">
        <f>IF(C286="","",IF(C286=0,"",10000000/C286))</f>
        <v/>
      </c>
      <c r="E286" s="22">
        <f>IF(C286="","",C286/630)</f>
        <v/>
      </c>
      <c r="F286" s="23" t="n"/>
    </row>
    <row r="287" ht="15" customHeight="1">
      <c r="B287" s="27" t="n">
        <v>45576</v>
      </c>
      <c r="C287" s="21" t="n">
        <v>322</v>
      </c>
      <c r="D287" s="14">
        <f>IF(C287="","",IF(C287=0,"",10000000/C287))</f>
        <v/>
      </c>
      <c r="E287" s="22">
        <f>IF(C287="","",C287/630)</f>
        <v/>
      </c>
      <c r="F287" s="23" t="n"/>
    </row>
    <row r="288" ht="15" customHeight="1">
      <c r="B288" s="27" t="n">
        <v>45577</v>
      </c>
      <c r="C288" s="21" t="n">
        <v>323</v>
      </c>
      <c r="D288" s="14">
        <f>IF(C288="","",IF(C288=0,"",10000000/C288))</f>
        <v/>
      </c>
      <c r="E288" s="22">
        <f>IF(C288="","",C288/630)</f>
        <v/>
      </c>
      <c r="F288" s="23" t="n"/>
    </row>
    <row r="289" ht="15" customHeight="1">
      <c r="B289" s="27" t="n">
        <v>45578</v>
      </c>
      <c r="C289" s="21" t="n">
        <v>326</v>
      </c>
      <c r="D289" s="14">
        <f>IF(C289="","",IF(C289=0,"",10000000/C289))</f>
        <v/>
      </c>
      <c r="E289" s="22">
        <f>IF(C289="","",C289/630)</f>
        <v/>
      </c>
      <c r="F289" s="23" t="n"/>
    </row>
    <row r="290" ht="15" customHeight="1">
      <c r="B290" s="27" t="n">
        <v>45579</v>
      </c>
      <c r="C290" s="21" t="n">
        <v>333</v>
      </c>
      <c r="D290" s="14">
        <f>IF(C290="","",IF(C290=0,"",10000000/C290))</f>
        <v/>
      </c>
      <c r="E290" s="22">
        <f>IF(C290="","",C290/630)</f>
        <v/>
      </c>
      <c r="F290" s="23" t="n"/>
    </row>
    <row r="291" ht="15" customHeight="1">
      <c r="B291" s="27" t="n">
        <v>45580</v>
      </c>
      <c r="C291" s="21" t="n">
        <v>330</v>
      </c>
      <c r="D291" s="14">
        <f>IF(C291="","",IF(C291=0,"",10000000/C291))</f>
        <v/>
      </c>
      <c r="E291" s="22">
        <f>IF(C291="","",C291/630)</f>
        <v/>
      </c>
      <c r="F291" s="23" t="n"/>
    </row>
    <row r="292" ht="15" customHeight="1">
      <c r="B292" s="27" t="n">
        <v>45581</v>
      </c>
      <c r="C292" s="21" t="n">
        <v>332</v>
      </c>
      <c r="D292" s="14">
        <f>IF(C292="","",IF(C292=0,"",10000000/C292))</f>
        <v/>
      </c>
      <c r="E292" s="22">
        <f>IF(C292="","",C292/630)</f>
        <v/>
      </c>
      <c r="F292" s="23" t="n"/>
    </row>
    <row r="293" ht="15" customHeight="1">
      <c r="B293" s="27" t="n">
        <v>45582</v>
      </c>
      <c r="C293" s="21" t="n">
        <v>332</v>
      </c>
      <c r="D293" s="14">
        <f>IF(C293="","",IF(C293=0,"",10000000/C293))</f>
        <v/>
      </c>
      <c r="E293" s="22">
        <f>IF(C293="","",C293/630)</f>
        <v/>
      </c>
      <c r="F293" s="23" t="n"/>
    </row>
    <row r="294" ht="15" customHeight="1">
      <c r="B294" s="27" t="n">
        <v>45583</v>
      </c>
      <c r="C294" s="21" t="n">
        <v>329</v>
      </c>
      <c r="D294" s="14">
        <f>IF(C294="","",IF(C294=0,"",10000000/C294))</f>
        <v/>
      </c>
      <c r="E294" s="22">
        <f>IF(C294="","",C294/630)</f>
        <v/>
      </c>
      <c r="F294" s="23" t="n"/>
    </row>
    <row r="295" ht="15" customHeight="1">
      <c r="B295" s="27" t="n">
        <v>45584</v>
      </c>
      <c r="C295" s="21" t="n">
        <v>329</v>
      </c>
      <c r="D295" s="14">
        <f>IF(C295="","",IF(C295=0,"",10000000/C295))</f>
        <v/>
      </c>
      <c r="E295" s="22">
        <f>IF(C295="","",C295/630)</f>
        <v/>
      </c>
      <c r="F295" s="23" t="n"/>
    </row>
    <row r="296" ht="15" customHeight="1">
      <c r="B296" s="27" t="n">
        <v>45585</v>
      </c>
      <c r="C296" s="21" t="n">
        <v>328</v>
      </c>
      <c r="D296" s="14">
        <f>IF(C296="","",IF(C296=0,"",10000000/C296))</f>
        <v/>
      </c>
      <c r="E296" s="22">
        <f>IF(C296="","",C296/630)</f>
        <v/>
      </c>
      <c r="F296" s="23" t="n"/>
    </row>
    <row r="297" ht="15" customHeight="1">
      <c r="B297" s="27" t="n">
        <v>45586</v>
      </c>
      <c r="C297" s="21" t="n">
        <v>326</v>
      </c>
      <c r="D297" s="14">
        <f>IF(C297="","",IF(C297=0,"",10000000/C297))</f>
        <v/>
      </c>
      <c r="E297" s="22">
        <f>IF(C297="","",C297/630)</f>
        <v/>
      </c>
      <c r="F297" s="23" t="n"/>
    </row>
    <row r="298" ht="15" customHeight="1">
      <c r="B298" s="27" t="n">
        <v>45587</v>
      </c>
      <c r="C298" s="21" t="n">
        <v>327</v>
      </c>
      <c r="D298" s="14">
        <f>IF(C298="","",IF(C298=0,"",10000000/C298))</f>
        <v/>
      </c>
      <c r="E298" s="22">
        <f>IF(C298="","",C298/630)</f>
        <v/>
      </c>
      <c r="F298" s="23" t="n"/>
    </row>
    <row r="299" ht="15" customHeight="1">
      <c r="B299" s="27" t="n">
        <v>45588</v>
      </c>
      <c r="C299" s="21" t="n">
        <v>326</v>
      </c>
      <c r="D299" s="14">
        <f>IF(C299="","",IF(C299=0,"",10000000/C299))</f>
        <v/>
      </c>
      <c r="E299" s="22">
        <f>IF(C299="","",C299/630)</f>
        <v/>
      </c>
      <c r="F299" s="23" t="n"/>
    </row>
    <row r="300" ht="15" customHeight="1">
      <c r="B300" s="27" t="n">
        <v>45589</v>
      </c>
      <c r="C300" s="21" t="n">
        <v>330</v>
      </c>
      <c r="D300" s="14">
        <f>IF(C300="","",IF(C300=0,"",10000000/C300))</f>
        <v/>
      </c>
      <c r="E300" s="22">
        <f>IF(C300="","",C300/630)</f>
        <v/>
      </c>
      <c r="F300" s="23" t="n"/>
    </row>
    <row r="301" ht="15" customHeight="1">
      <c r="B301" s="27" t="n">
        <v>45590</v>
      </c>
      <c r="C301" s="21" t="n">
        <v>333</v>
      </c>
      <c r="D301" s="14">
        <f>IF(C301="","",IF(C301=0,"",10000000/C301))</f>
        <v/>
      </c>
      <c r="E301" s="22">
        <f>IF(C301="","",C301/630)</f>
        <v/>
      </c>
      <c r="F301" s="23" t="n"/>
    </row>
    <row r="302" ht="15" customHeight="1">
      <c r="B302" s="27" t="n">
        <v>45591</v>
      </c>
      <c r="C302" s="21" t="n">
        <v>333</v>
      </c>
      <c r="D302" s="14">
        <f>IF(C302="","",IF(C302=0,"",10000000/C302))</f>
        <v/>
      </c>
      <c r="E302" s="22">
        <f>IF(C302="","",C302/630)</f>
        <v/>
      </c>
      <c r="F302" s="23" t="n"/>
    </row>
    <row r="303" ht="15" customHeight="1">
      <c r="B303" s="27" t="n">
        <v>45592</v>
      </c>
      <c r="C303" s="21" t="n">
        <v>331</v>
      </c>
      <c r="D303" s="14">
        <f>IF(C303="","",IF(C303=0,"",10000000/C303))</f>
        <v/>
      </c>
      <c r="E303" s="22">
        <f>IF(C303="","",C303/630)</f>
        <v/>
      </c>
      <c r="F303" s="23" t="n"/>
    </row>
    <row r="304" ht="15" customHeight="1">
      <c r="B304" s="27" t="n">
        <v>45593</v>
      </c>
      <c r="C304" s="21" t="n">
        <v>336</v>
      </c>
      <c r="D304" s="14">
        <f>IF(C304="","",IF(C304=0,"",10000000/C304))</f>
        <v/>
      </c>
      <c r="E304" s="22">
        <f>IF(C304="","",C304/630)</f>
        <v/>
      </c>
      <c r="F304" s="23" t="n"/>
    </row>
    <row r="305" ht="15" customHeight="1">
      <c r="B305" s="27" t="n">
        <v>45594</v>
      </c>
      <c r="C305" s="21" t="n">
        <v>338</v>
      </c>
      <c r="D305" s="14">
        <f>IF(C305="","",IF(C305=0,"",10000000/C305))</f>
        <v/>
      </c>
      <c r="E305" s="22">
        <f>IF(C305="","",C305/630)</f>
        <v/>
      </c>
      <c r="F305" s="23" t="n"/>
    </row>
    <row r="306" ht="15" customHeight="1">
      <c r="B306" s="27" t="n">
        <v>45595</v>
      </c>
      <c r="C306" s="21" t="n">
        <v>337</v>
      </c>
      <c r="D306" s="14">
        <f>IF(C306="","",IF(C306=0,"",10000000/C306))</f>
        <v/>
      </c>
      <c r="E306" s="22">
        <f>IF(C306="","",C306/630)</f>
        <v/>
      </c>
      <c r="F306" s="23" t="n"/>
    </row>
    <row r="307" ht="15" customHeight="1">
      <c r="B307" s="27" t="n">
        <v>45596</v>
      </c>
      <c r="C307" s="21" t="n">
        <v>326</v>
      </c>
      <c r="D307" s="14">
        <f>IF(C307="","",IF(C307=0,"",10000000/C307))</f>
        <v/>
      </c>
      <c r="E307" s="22">
        <f>IF(C307="","",C307/630)</f>
        <v/>
      </c>
      <c r="F307" s="23" t="n"/>
    </row>
    <row r="308" ht="15" customHeight="1">
      <c r="B308" s="27" t="n">
        <v>45597</v>
      </c>
      <c r="C308" s="21" t="n">
        <v>337</v>
      </c>
      <c r="D308" s="14">
        <f>IF(C308="","",IF(C308=0,"",10000000/C308))</f>
        <v/>
      </c>
      <c r="E308" s="22">
        <f>IF(C308="","",C308/630)</f>
        <v/>
      </c>
      <c r="F308" s="23" t="n"/>
    </row>
    <row r="309" ht="15" customHeight="1">
      <c r="B309" s="27" t="n">
        <v>45598</v>
      </c>
      <c r="C309" s="21" t="n">
        <v>337</v>
      </c>
      <c r="D309" s="14">
        <f>IF(C309="","",IF(C309=0,"",10000000/C309))</f>
        <v/>
      </c>
      <c r="E309" s="22">
        <f>IF(C309="","",C309/630)</f>
        <v/>
      </c>
      <c r="F309" s="23" t="n"/>
    </row>
    <row r="310" ht="15" customHeight="1">
      <c r="B310" s="27" t="n">
        <v>45599</v>
      </c>
      <c r="C310" s="21" t="n">
        <v>334</v>
      </c>
      <c r="D310" s="14">
        <f>IF(C310="","",IF(C310=0,"",10000000/C310))</f>
        <v/>
      </c>
      <c r="E310" s="22">
        <f>IF(C310="","",C310/630)</f>
        <v/>
      </c>
      <c r="F310" s="23" t="n"/>
    </row>
    <row r="311" ht="15" customHeight="1">
      <c r="B311" s="27" t="n">
        <v>45600</v>
      </c>
      <c r="C311" s="21" t="n">
        <v>341</v>
      </c>
      <c r="D311" s="14">
        <f>IF(C311="","",IF(C311=0,"",10000000/C311))</f>
        <v/>
      </c>
      <c r="E311" s="22">
        <f>IF(C311="","",C311/630)</f>
        <v/>
      </c>
      <c r="F311" s="23" t="n"/>
    </row>
    <row r="312" ht="15" customHeight="1">
      <c r="B312" s="27" t="n">
        <v>45601</v>
      </c>
      <c r="C312" s="21" t="n">
        <v>346</v>
      </c>
      <c r="D312" s="14">
        <f>IF(C312="","",IF(C312=0,"",10000000/C312))</f>
        <v/>
      </c>
      <c r="E312" s="22">
        <f>IF(C312="","",C312/630)</f>
        <v/>
      </c>
      <c r="F312" s="23" t="n"/>
    </row>
    <row r="313" ht="15" customHeight="1">
      <c r="B313" s="27" t="n">
        <v>45602</v>
      </c>
      <c r="C313" s="21" t="n">
        <v>345</v>
      </c>
      <c r="D313" s="14">
        <f>IF(C313="","",IF(C313=0,"",10000000/C313))</f>
        <v/>
      </c>
      <c r="E313" s="22">
        <f>IF(C313="","",C313/630)</f>
        <v/>
      </c>
      <c r="F313" s="23" t="n"/>
    </row>
    <row r="314" ht="15" customHeight="1">
      <c r="B314" s="27" t="n">
        <v>45603</v>
      </c>
      <c r="C314" s="21" t="n">
        <v>346</v>
      </c>
      <c r="D314" s="14">
        <f>IF(C314="","",IF(C314=0,"",10000000/C314))</f>
        <v/>
      </c>
      <c r="E314" s="22">
        <f>IF(C314="","",C314/630)</f>
        <v/>
      </c>
      <c r="F314" s="23" t="n"/>
    </row>
    <row r="315" ht="15" customHeight="1">
      <c r="B315" s="27" t="n">
        <v>45604</v>
      </c>
      <c r="C315" s="21" t="n">
        <v>350</v>
      </c>
      <c r="D315" s="14">
        <f>IF(C315="","",IF(C315=0,"",10000000/C315))</f>
        <v/>
      </c>
      <c r="E315" s="22">
        <f>IF(C315="","",C315/630)</f>
        <v/>
      </c>
      <c r="F315" s="23" t="n"/>
    </row>
    <row r="316" ht="15" customHeight="1">
      <c r="B316" s="27" t="n">
        <v>45605</v>
      </c>
      <c r="C316" s="21" t="n">
        <v>350</v>
      </c>
      <c r="D316" s="14">
        <f>IF(C316="","",IF(C316=0,"",10000000/C316))</f>
        <v/>
      </c>
      <c r="E316" s="22">
        <f>IF(C316="","",C316/630)</f>
        <v/>
      </c>
      <c r="F316" s="23" t="n"/>
    </row>
    <row r="317" ht="15" customHeight="1">
      <c r="B317" s="27" t="n">
        <v>45606</v>
      </c>
      <c r="C317" s="21" t="n">
        <v>353</v>
      </c>
      <c r="D317" s="14">
        <f>IF(C317="","",IF(C317=0,"",10000000/C317))</f>
        <v/>
      </c>
      <c r="E317" s="22">
        <f>IF(C317="","",C317/630)</f>
        <v/>
      </c>
      <c r="F317" s="23" t="n"/>
    </row>
    <row r="318" ht="15" customHeight="1">
      <c r="B318" s="27" t="n">
        <v>45607</v>
      </c>
      <c r="C318" s="21" t="n">
        <v>352</v>
      </c>
      <c r="D318" s="14">
        <f>IF(C318="","",IF(C318=0,"",10000000/C318))</f>
        <v/>
      </c>
      <c r="E318" s="22">
        <f>IF(C318="","",C318/630)</f>
        <v/>
      </c>
      <c r="F318" s="23" t="n"/>
    </row>
    <row r="319" ht="15" customHeight="1">
      <c r="B319" s="27" t="n">
        <v>45608</v>
      </c>
      <c r="C319" s="21" t="n">
        <v>353</v>
      </c>
      <c r="D319" s="14">
        <f>IF(C319="","",IF(C319=0,"",10000000/C319))</f>
        <v/>
      </c>
      <c r="E319" s="22">
        <f>IF(C319="","",C319/630)</f>
        <v/>
      </c>
      <c r="F319" s="23" t="n"/>
    </row>
    <row r="320" ht="15" customHeight="1">
      <c r="B320" s="27" t="n">
        <v>45609</v>
      </c>
      <c r="C320" s="21" t="n">
        <v>351</v>
      </c>
      <c r="D320" s="14">
        <f>IF(C320="","",IF(C320=0,"",10000000/C320))</f>
        <v/>
      </c>
      <c r="E320" s="22">
        <f>IF(C320="","",C320/630)</f>
        <v/>
      </c>
      <c r="F320" s="23" t="n"/>
    </row>
    <row r="321" ht="15" customHeight="1">
      <c r="B321" s="27" t="n">
        <v>45610</v>
      </c>
      <c r="C321" s="21" t="n">
        <v>353</v>
      </c>
      <c r="D321" s="14">
        <f>IF(C321="","",IF(C321=0,"",10000000/C321))</f>
        <v/>
      </c>
      <c r="E321" s="22">
        <f>IF(C321="","",C321/630)</f>
        <v/>
      </c>
      <c r="F321" s="23" t="n"/>
    </row>
    <row r="322" ht="15" customHeight="1">
      <c r="B322" s="27" t="n">
        <v>45611</v>
      </c>
      <c r="C322" s="21" t="n">
        <v>354</v>
      </c>
      <c r="D322" s="14">
        <f>IF(C322="","",IF(C322=0,"",10000000/C322))</f>
        <v/>
      </c>
      <c r="E322" s="22">
        <f>IF(C322="","",C322/630)</f>
        <v/>
      </c>
      <c r="F322" s="23" t="n"/>
    </row>
    <row r="323" ht="15" customHeight="1">
      <c r="B323" s="27" t="n">
        <v>45612</v>
      </c>
      <c r="C323" s="21" t="n">
        <v>354</v>
      </c>
      <c r="D323" s="14">
        <f>IF(C323="","",IF(C323=0,"",10000000/C323))</f>
        <v/>
      </c>
      <c r="E323" s="22">
        <f>IF(C323="","",C323/630)</f>
        <v/>
      </c>
      <c r="F323" s="23" t="n"/>
    </row>
    <row r="324" ht="15" customHeight="1">
      <c r="B324" s="27" t="n">
        <v>45613</v>
      </c>
      <c r="C324" s="21" t="n">
        <v>366</v>
      </c>
      <c r="D324" s="14">
        <f>IF(C324="","",IF(C324=0,"",10000000/C324))</f>
        <v/>
      </c>
      <c r="E324" s="22">
        <f>IF(C324="","",C324/630)</f>
        <v/>
      </c>
      <c r="F324" s="23" t="n"/>
    </row>
    <row r="325" ht="15" customHeight="1">
      <c r="B325" s="27" t="n">
        <v>45614</v>
      </c>
      <c r="C325" s="21" t="n">
        <v>372</v>
      </c>
      <c r="D325" s="14">
        <f>IF(C325="","",IF(C325=0,"",10000000/C325))</f>
        <v/>
      </c>
      <c r="E325" s="22">
        <f>IF(C325="","",C325/630)</f>
        <v/>
      </c>
      <c r="F325" s="23" t="n"/>
    </row>
    <row r="326" ht="15" customHeight="1">
      <c r="B326" s="27" t="n">
        <v>45615</v>
      </c>
      <c r="C326" s="21" t="n">
        <v>371</v>
      </c>
      <c r="D326" s="14">
        <f>IF(C326="","",IF(C326=0,"",10000000/C326))</f>
        <v/>
      </c>
      <c r="E326" s="22">
        <f>IF(C326="","",C326/630)</f>
        <v/>
      </c>
      <c r="F326" s="23" t="n"/>
    </row>
    <row r="327" ht="15" customHeight="1">
      <c r="B327" s="27" t="n">
        <v>45616</v>
      </c>
      <c r="C327" s="21" t="n">
        <v>369</v>
      </c>
      <c r="D327" s="14">
        <f>IF(C327="","",IF(C327=0,"",10000000/C327))</f>
        <v/>
      </c>
      <c r="E327" s="22">
        <f>IF(C327="","",C327/630)</f>
        <v/>
      </c>
      <c r="F327" s="23" t="n"/>
    </row>
    <row r="328" ht="15" customHeight="1">
      <c r="B328" s="27" t="n">
        <v>45617</v>
      </c>
      <c r="C328" s="21" t="n">
        <v>373</v>
      </c>
      <c r="D328" s="14">
        <f>IF(C328="","",IF(C328=0,"",10000000/C328))</f>
        <v/>
      </c>
      <c r="E328" s="22">
        <f>IF(C328="","",C328/630)</f>
        <v/>
      </c>
      <c r="F328" s="23" t="n"/>
    </row>
    <row r="329" ht="15" customHeight="1">
      <c r="B329" s="27" t="n">
        <v>45618</v>
      </c>
      <c r="C329" s="21" t="n">
        <v>375</v>
      </c>
      <c r="D329" s="14">
        <f>IF(C329="","",IF(C329=0,"",10000000/C329))</f>
        <v/>
      </c>
      <c r="E329" s="22">
        <f>IF(C329="","",C329/630)</f>
        <v/>
      </c>
      <c r="F329" s="23" t="n"/>
    </row>
    <row r="330" ht="15" customHeight="1">
      <c r="B330" s="27" t="n">
        <v>45619</v>
      </c>
      <c r="C330" s="21" t="n">
        <v>375</v>
      </c>
      <c r="D330" s="14">
        <f>IF(C330="","",IF(C330=0,"",10000000/C330))</f>
        <v/>
      </c>
      <c r="E330" s="22">
        <f>IF(C330="","",C330/630)</f>
        <v/>
      </c>
      <c r="F330" s="23" t="n"/>
    </row>
    <row r="331" ht="15" customHeight="1">
      <c r="B331" s="27" t="n">
        <v>45620</v>
      </c>
      <c r="C331" s="21" t="n">
        <v>384</v>
      </c>
      <c r="D331" s="14">
        <f>IF(C331="","",IF(C331=0,"",10000000/C331))</f>
        <v/>
      </c>
      <c r="E331" s="22">
        <f>IF(C331="","",C331/630)</f>
        <v/>
      </c>
      <c r="F331" s="23" t="n"/>
    </row>
    <row r="332" ht="15" customHeight="1">
      <c r="B332" s="27" t="n">
        <v>45621</v>
      </c>
      <c r="C332" s="21" t="n">
        <v>380</v>
      </c>
      <c r="D332" s="14">
        <f>IF(C332="","",IF(C332=0,"",10000000/C332))</f>
        <v/>
      </c>
      <c r="E332" s="22">
        <f>IF(C332="","",C332/630)</f>
        <v/>
      </c>
      <c r="F332" s="23" t="n"/>
    </row>
    <row r="333" ht="15" customHeight="1">
      <c r="B333" s="27" t="n">
        <v>45622</v>
      </c>
      <c r="C333" s="21" t="n">
        <v>379</v>
      </c>
      <c r="D333" s="14">
        <f>IF(C333="","",IF(C333=0,"",10000000/C333))</f>
        <v/>
      </c>
      <c r="E333" s="22">
        <f>IF(C333="","",C333/630)</f>
        <v/>
      </c>
      <c r="F333" s="23" t="n"/>
    </row>
    <row r="334" ht="15" customHeight="1">
      <c r="B334" s="27" t="n">
        <v>45623</v>
      </c>
      <c r="C334" s="21" t="n">
        <v>377</v>
      </c>
      <c r="D334" s="14">
        <f>IF(C334="","",IF(C334=0,"",10000000/C334))</f>
        <v/>
      </c>
      <c r="E334" s="22">
        <f>IF(C334="","",C334/630)</f>
        <v/>
      </c>
      <c r="F334" s="23" t="n"/>
    </row>
    <row r="335" ht="15" customHeight="1">
      <c r="B335" s="27" t="n">
        <v>45624</v>
      </c>
      <c r="C335" s="21" t="n">
        <v>390</v>
      </c>
      <c r="D335" s="14">
        <f>IF(C335="","",IF(C335=0,"",10000000/C335))</f>
        <v/>
      </c>
      <c r="E335" s="22">
        <f>IF(C335="","",C335/630)</f>
        <v/>
      </c>
      <c r="F335" s="23" t="n"/>
    </row>
    <row r="336" ht="15" customHeight="1">
      <c r="B336" s="27" t="n">
        <v>45625</v>
      </c>
      <c r="C336" s="21" t="n">
        <v>403</v>
      </c>
      <c r="D336" s="14">
        <f>IF(C336="","",IF(C336=0,"",10000000/C336))</f>
        <v/>
      </c>
      <c r="E336" s="22">
        <f>IF(C336="","",C336/630)</f>
        <v/>
      </c>
      <c r="F336" s="23" t="n"/>
    </row>
    <row r="337" ht="15" customHeight="1">
      <c r="B337" s="27" t="n">
        <v>45626</v>
      </c>
      <c r="C337" s="21" t="n">
        <v>400</v>
      </c>
      <c r="D337" s="14">
        <f>IF(C337="","",IF(C337=0,"",10000000/C337))</f>
        <v/>
      </c>
      <c r="E337" s="22">
        <f>IF(C337="","",C337/630)</f>
        <v/>
      </c>
      <c r="F337" s="23" t="n"/>
    </row>
    <row r="338" ht="15" customHeight="1">
      <c r="B338" s="27" t="n">
        <v>45627</v>
      </c>
      <c r="C338" s="21" t="n">
        <v>399</v>
      </c>
      <c r="D338" s="14">
        <f>IF(C338="","",IF(C338=0,"",10000000/C338))</f>
        <v/>
      </c>
      <c r="E338" s="22">
        <f>IF(C338="","",C338/630)</f>
        <v/>
      </c>
      <c r="F338" s="23" t="n"/>
    </row>
    <row r="339" ht="15" customHeight="1">
      <c r="B339" s="27" t="n">
        <v>45628</v>
      </c>
      <c r="C339" s="21" t="n">
        <v>402</v>
      </c>
      <c r="D339" s="14">
        <f>IF(C339="","",IF(C339=0,"",10000000/C339))</f>
        <v/>
      </c>
      <c r="E339" s="22">
        <f>IF(C339="","",C339/630)</f>
        <v/>
      </c>
      <c r="F339" s="23" t="n"/>
    </row>
    <row r="340" ht="15" customHeight="1">
      <c r="B340" s="27" t="n">
        <v>45629</v>
      </c>
      <c r="C340" s="21" t="n">
        <v>400</v>
      </c>
      <c r="D340" s="14">
        <f>IF(C340="","",IF(C340=0,"",10000000/C340))</f>
        <v/>
      </c>
      <c r="E340" s="22">
        <f>IF(C340="","",C340/630)</f>
        <v/>
      </c>
      <c r="F340" s="23" t="n"/>
    </row>
    <row r="341" ht="15" customHeight="1">
      <c r="B341" s="27" t="n">
        <v>45630</v>
      </c>
      <c r="C341" s="21" t="n">
        <v>403</v>
      </c>
      <c r="D341" s="14">
        <f>IF(C341="","",IF(C341=0,"",10000000/C341))</f>
        <v/>
      </c>
      <c r="E341" s="22">
        <f>IF(C341="","",C341/630)</f>
        <v/>
      </c>
      <c r="F341" s="23" t="n"/>
    </row>
    <row r="342" ht="15" customHeight="1">
      <c r="B342" s="27" t="n">
        <v>45631</v>
      </c>
      <c r="C342" s="21" t="n">
        <v>397</v>
      </c>
      <c r="D342" s="14">
        <f>IF(C342="","",IF(C342=0,"",10000000/C342))</f>
        <v/>
      </c>
      <c r="E342" s="22">
        <f>IF(C342="","",C342/630)</f>
        <v/>
      </c>
      <c r="F342" s="23" t="n"/>
    </row>
    <row r="343" ht="15" customHeight="1">
      <c r="B343" s="27" t="n">
        <v>45632</v>
      </c>
      <c r="C343" s="21" t="n">
        <v>399</v>
      </c>
      <c r="D343" s="14">
        <f>IF(C343="","",IF(C343=0,"",10000000/C343))</f>
        <v/>
      </c>
      <c r="E343" s="22">
        <f>IF(C343="","",C343/630)</f>
        <v/>
      </c>
      <c r="F343" s="23" t="n"/>
    </row>
    <row r="344" ht="15" customHeight="1">
      <c r="B344" s="27" t="n">
        <v>45633</v>
      </c>
      <c r="C344" s="21" t="n">
        <v>399</v>
      </c>
      <c r="D344" s="14">
        <f>IF(C344="","",IF(C344=0,"",10000000/C344))</f>
        <v/>
      </c>
      <c r="E344" s="22">
        <f>IF(C344="","",C344/630)</f>
        <v/>
      </c>
      <c r="F344" s="23" t="n"/>
    </row>
    <row r="345" ht="15" customHeight="1">
      <c r="B345" s="27" t="n">
        <v>45634</v>
      </c>
      <c r="C345" s="21" t="n">
        <v>407</v>
      </c>
      <c r="D345" s="14">
        <f>IF(C345="","",IF(C345=0,"",10000000/C345))</f>
        <v/>
      </c>
      <c r="E345" s="22">
        <f>IF(C345="","",C345/630)</f>
        <v/>
      </c>
      <c r="F345" s="23" t="n"/>
    </row>
    <row r="346" ht="15" customHeight="1">
      <c r="B346" s="27" t="n">
        <v>45635</v>
      </c>
      <c r="C346" s="21" t="n">
        <v>392</v>
      </c>
      <c r="D346" s="14">
        <f>IF(C346="","",IF(C346=0,"",10000000/C346))</f>
        <v/>
      </c>
      <c r="E346" s="22">
        <f>IF(C346="","",C346/630)</f>
        <v/>
      </c>
      <c r="F346" s="23" t="n"/>
    </row>
    <row r="347" ht="15" customHeight="1">
      <c r="B347" s="27" t="n">
        <v>45636</v>
      </c>
      <c r="C347" s="21" t="n">
        <v>387</v>
      </c>
      <c r="D347" s="14">
        <f>IF(C347="","",IF(C347=0,"",10000000/C347))</f>
        <v/>
      </c>
      <c r="E347" s="22">
        <f>IF(C347="","",C347/630)</f>
        <v/>
      </c>
      <c r="F347" s="23" t="n"/>
    </row>
    <row r="348" ht="15" customHeight="1">
      <c r="B348" s="27" t="n">
        <v>45637</v>
      </c>
      <c r="C348" s="21" t="n">
        <v>380</v>
      </c>
      <c r="D348" s="14">
        <f>IF(C348="","",IF(C348=0,"",10000000/C348))</f>
        <v/>
      </c>
      <c r="E348" s="22">
        <f>IF(C348="","",C348/630)</f>
        <v/>
      </c>
      <c r="F348" s="23" t="n"/>
    </row>
    <row r="349" ht="15" customHeight="1">
      <c r="B349" s="27" t="n">
        <v>45638</v>
      </c>
      <c r="C349" s="21" t="n">
        <v>381</v>
      </c>
      <c r="D349" s="14">
        <f>IF(C349="","",IF(C349=0,"",10000000/C349))</f>
        <v/>
      </c>
      <c r="E349" s="22">
        <f>IF(C349="","",C349/630)</f>
        <v/>
      </c>
      <c r="F349" s="23" t="n"/>
    </row>
    <row r="350" ht="15" customHeight="1">
      <c r="B350" s="27" t="n">
        <v>45639</v>
      </c>
      <c r="C350" s="21" t="n">
        <v>382</v>
      </c>
      <c r="D350" s="14">
        <f>IF(C350="","",IF(C350=0,"",10000000/C350))</f>
        <v/>
      </c>
      <c r="E350" s="22">
        <f>IF(C350="","",C350/630)</f>
        <v/>
      </c>
      <c r="F350" s="23" t="n"/>
    </row>
    <row r="351" ht="15" customHeight="1">
      <c r="B351" s="27" t="n">
        <v>45640</v>
      </c>
      <c r="C351" s="21" t="n">
        <v>382</v>
      </c>
      <c r="D351" s="14">
        <f>IF(C351="","",IF(C351=0,"",10000000/C351))</f>
        <v/>
      </c>
      <c r="E351" s="22">
        <f>IF(C351="","",C351/630)</f>
        <v/>
      </c>
      <c r="F351" s="23" t="n"/>
    </row>
    <row r="352" ht="15" customHeight="1">
      <c r="B352" s="27" t="n">
        <v>45641</v>
      </c>
      <c r="C352" s="21" t="n">
        <v>386</v>
      </c>
      <c r="D352" s="14">
        <f>IF(C352="","",IF(C352=0,"",10000000/C352))</f>
        <v/>
      </c>
      <c r="E352" s="22">
        <f>IF(C352="","",C352/630)</f>
        <v/>
      </c>
      <c r="F352" s="23" t="n"/>
    </row>
    <row r="353" ht="15" customHeight="1">
      <c r="B353" s="27" t="n">
        <v>45642</v>
      </c>
      <c r="C353" s="21" t="n">
        <v>385</v>
      </c>
      <c r="D353" s="14">
        <f>IF(C353="","",IF(C353=0,"",10000000/C353))</f>
        <v/>
      </c>
      <c r="E353" s="22">
        <f>IF(C353="","",C353/630)</f>
        <v/>
      </c>
      <c r="F353" s="23" t="n"/>
    </row>
    <row r="354" ht="15" customHeight="1">
      <c r="B354" s="27" t="n">
        <v>45643</v>
      </c>
      <c r="C354" s="21" t="n">
        <v>385</v>
      </c>
      <c r="D354" s="14">
        <f>IF(C354="","",IF(C354=0,"",10000000/C354))</f>
        <v/>
      </c>
      <c r="E354" s="22">
        <f>IF(C354="","",C354/630)</f>
        <v/>
      </c>
      <c r="F354" s="23" t="n"/>
    </row>
    <row r="355" ht="15" customHeight="1">
      <c r="B355" s="27" t="n">
        <v>45644</v>
      </c>
      <c r="C355" s="21" t="n">
        <v>382</v>
      </c>
      <c r="D355" s="14">
        <f>IF(C355="","",IF(C355=0,"",10000000/C355))</f>
        <v/>
      </c>
      <c r="E355" s="22">
        <f>IF(C355="","",C355/630)</f>
        <v/>
      </c>
      <c r="F355" s="23" t="n"/>
    </row>
    <row r="356" ht="15" customHeight="1">
      <c r="B356" s="27" t="n">
        <v>45645</v>
      </c>
      <c r="C356" s="21" t="n">
        <v>382</v>
      </c>
      <c r="D356" s="14">
        <f>IF(C356="","",IF(C356=0,"",10000000/C356))</f>
        <v/>
      </c>
      <c r="E356" s="22">
        <f>IF(C356="","",C356/630)</f>
        <v/>
      </c>
      <c r="F356" s="23" t="n"/>
    </row>
    <row r="357" ht="15" customHeight="1">
      <c r="B357" s="27" t="n">
        <v>45646</v>
      </c>
      <c r="C357" s="21" t="n">
        <v>406</v>
      </c>
      <c r="D357" s="14">
        <f>IF(C357="","",IF(C357=0,"",10000000/C357))</f>
        <v/>
      </c>
      <c r="E357" s="22">
        <f>IF(C357="","",C357/630)</f>
        <v/>
      </c>
      <c r="F357" s="23" t="n"/>
    </row>
    <row r="358" ht="15" customHeight="1">
      <c r="B358" s="27" t="n">
        <v>45647</v>
      </c>
      <c r="C358" s="21" t="n">
        <v>407</v>
      </c>
      <c r="D358" s="14">
        <f>IF(C358="","",IF(C358=0,"",10000000/C358))</f>
        <v/>
      </c>
      <c r="E358" s="22">
        <f>IF(C358="","",C358/630)</f>
        <v/>
      </c>
      <c r="F358" s="23" t="n"/>
    </row>
    <row r="359" ht="15" customHeight="1">
      <c r="B359" s="27" t="n">
        <v>45648</v>
      </c>
      <c r="C359" s="21" t="n">
        <v>405</v>
      </c>
      <c r="D359" s="14">
        <f>IF(C359="","",IF(C359=0,"",10000000/C359))</f>
        <v/>
      </c>
      <c r="E359" s="22">
        <f>IF(C359="","",C359/630)</f>
        <v/>
      </c>
      <c r="F359" s="23" t="n"/>
    </row>
    <row r="360" ht="15" customHeight="1">
      <c r="B360" s="27" t="n">
        <v>45649</v>
      </c>
      <c r="C360" s="21" t="n">
        <v>416</v>
      </c>
      <c r="D360" s="14">
        <f>IF(C360="","",IF(C360=0,"",10000000/C360))</f>
        <v/>
      </c>
      <c r="E360" s="22">
        <f>IF(C360="","",C360/630)</f>
        <v/>
      </c>
      <c r="F360" s="23" t="n"/>
    </row>
    <row r="361" ht="15" customHeight="1">
      <c r="B361" s="27" t="n">
        <v>45650</v>
      </c>
      <c r="C361" s="21" t="n">
        <v>416</v>
      </c>
      <c r="D361" s="14">
        <f>IF(C361="","",IF(C361=0,"",10000000/C361))</f>
        <v/>
      </c>
      <c r="E361" s="22">
        <f>IF(C361="","",C361/630)</f>
        <v/>
      </c>
      <c r="F361" s="23" t="n"/>
    </row>
    <row r="362" ht="15" customHeight="1">
      <c r="B362" s="27" t="n">
        <v>45651</v>
      </c>
      <c r="C362" s="21" t="n">
        <v>416</v>
      </c>
      <c r="D362" s="14">
        <f>IF(C362="","",IF(C362=0,"",10000000/C362))</f>
        <v/>
      </c>
      <c r="E362" s="22">
        <f>IF(C362="","",C362/630)</f>
        <v/>
      </c>
      <c r="F362" s="23" t="n"/>
    </row>
    <row r="363" ht="15" customHeight="1">
      <c r="B363" s="27" t="n">
        <v>45652</v>
      </c>
      <c r="C363" s="21" t="n">
        <v>416</v>
      </c>
      <c r="D363" s="14">
        <f>IF(C363="","",IF(C363=0,"",10000000/C363))</f>
        <v/>
      </c>
      <c r="E363" s="22">
        <f>IF(C363="","",C363/630)</f>
        <v/>
      </c>
      <c r="F363" s="23" t="n"/>
    </row>
    <row r="364" ht="15" customHeight="1">
      <c r="B364" s="27" t="n">
        <v>45653</v>
      </c>
      <c r="C364" s="21" t="n">
        <v>416</v>
      </c>
      <c r="D364" s="14">
        <f>IF(C364="","",IF(C364=0,"",10000000/C364))</f>
        <v/>
      </c>
      <c r="E364" s="22">
        <f>IF(C364="","",C364/630)</f>
        <v/>
      </c>
      <c r="F364" s="23" t="n"/>
    </row>
    <row r="365" ht="15" customHeight="1">
      <c r="B365" s="27" t="n">
        <v>45654</v>
      </c>
      <c r="C365" s="21" t="n">
        <v>416</v>
      </c>
      <c r="D365" s="14">
        <f>IF(C365="","",IF(C365=0,"",10000000/C365))</f>
        <v/>
      </c>
      <c r="E365" s="22">
        <f>IF(C365="","",C365/630)</f>
        <v/>
      </c>
      <c r="F365" s="23" t="n"/>
    </row>
    <row r="366" ht="15" customHeight="1">
      <c r="B366" s="27" t="n">
        <v>45655</v>
      </c>
      <c r="C366" s="21" t="n">
        <v>423</v>
      </c>
      <c r="D366" s="14">
        <f>IF(C366="","",IF(C366=0,"",10000000/C366))</f>
        <v/>
      </c>
      <c r="E366" s="22">
        <f>IF(C366="","",C366/630)</f>
        <v/>
      </c>
      <c r="F366" s="23" t="n"/>
    </row>
    <row r="367" ht="15" customHeight="1">
      <c r="B367" s="27" t="n">
        <v>45656</v>
      </c>
      <c r="C367" s="21" t="n">
        <v>421</v>
      </c>
      <c r="D367" s="14">
        <f>IF(C367="","",IF(C367=0,"",10000000/C367))</f>
        <v/>
      </c>
      <c r="E367" s="22">
        <f>IF(C367="","",C367/630)</f>
        <v/>
      </c>
      <c r="F367" s="23" t="n"/>
    </row>
    <row r="368" ht="15" customHeight="1">
      <c r="B368" s="27" t="n">
        <v>45657</v>
      </c>
      <c r="C368" s="21" t="n">
        <v>420</v>
      </c>
      <c r="D368" s="14">
        <f>IF(C368="","",IF(C368=0,"",10000000/C368))</f>
        <v/>
      </c>
      <c r="E368" s="22">
        <f>IF(C368="","",C368/630)</f>
        <v/>
      </c>
      <c r="F368" s="23" t="n"/>
    </row>
    <row r="369" ht="15" customHeight="1">
      <c r="B369" s="27" t="n">
        <v>45658</v>
      </c>
      <c r="C369" s="21" t="n">
        <v>419</v>
      </c>
      <c r="D369" s="14">
        <f>IF(C369="","",IF(C369=0,"",10000000/C369))</f>
        <v/>
      </c>
      <c r="E369" s="22">
        <f>IF(C369="","",C369/630)</f>
        <v/>
      </c>
      <c r="F369" s="23" t="n"/>
    </row>
    <row r="370" ht="15" customHeight="1">
      <c r="B370" s="27" t="n">
        <v>45659</v>
      </c>
      <c r="C370" s="21" t="n">
        <v>422</v>
      </c>
      <c r="D370" s="14">
        <f>IF(C370="","",IF(C370=0,"",10000000/C370))</f>
        <v/>
      </c>
      <c r="E370" s="22">
        <f>IF(C370="","",C370/630)</f>
        <v/>
      </c>
      <c r="F370" s="23" t="n"/>
    </row>
    <row r="371" ht="15" customHeight="1">
      <c r="B371" s="27" t="n">
        <v>45660</v>
      </c>
      <c r="C371" s="21" t="n">
        <v>428</v>
      </c>
      <c r="D371" s="14">
        <f>IF(C371="","",IF(C371=0,"",10000000/C371))</f>
        <v/>
      </c>
      <c r="E371" s="22">
        <f>IF(C371="","",C371/630)</f>
        <v/>
      </c>
      <c r="F371" s="23" t="n"/>
    </row>
    <row r="372" ht="15" customHeight="1">
      <c r="B372" s="27" t="n">
        <v>45661</v>
      </c>
      <c r="C372" s="21" t="n">
        <v>428</v>
      </c>
      <c r="D372" s="14">
        <f>IF(C372="","",IF(C372=0,"",10000000/C372))</f>
        <v/>
      </c>
      <c r="E372" s="22">
        <f>IF(C372="","",C372/630)</f>
        <v/>
      </c>
      <c r="F372" s="23" t="n"/>
    </row>
    <row r="373" ht="15" customHeight="1">
      <c r="B373" s="27" t="n">
        <v>45662</v>
      </c>
      <c r="C373" s="21" t="n">
        <v>430</v>
      </c>
      <c r="D373" s="14">
        <f>IF(C373="","",IF(C373=0,"",10000000/C373))</f>
        <v/>
      </c>
      <c r="E373" s="22">
        <f>IF(C373="","",C373/630)</f>
        <v/>
      </c>
      <c r="F373" s="23" t="n"/>
    </row>
    <row r="374" ht="15" customHeight="1">
      <c r="B374" s="27" t="n">
        <v>45663</v>
      </c>
      <c r="C374" s="21" t="n">
        <v>431</v>
      </c>
      <c r="D374" s="14">
        <f>IF(C374="","",IF(C374=0,"",10000000/C374))</f>
        <v/>
      </c>
      <c r="E374" s="22">
        <f>IF(C374="","",C374/630)</f>
        <v/>
      </c>
      <c r="F374" s="23" t="n"/>
    </row>
    <row r="375" ht="15" customHeight="1">
      <c r="B375" s="27" t="n">
        <v>45664</v>
      </c>
      <c r="C375" s="21" t="n">
        <v>432</v>
      </c>
      <c r="D375" s="14">
        <f>IF(C375="","",IF(C375=0,"",10000000/C375))</f>
        <v/>
      </c>
      <c r="E375" s="22">
        <f>IF(C375="","",C375/630)</f>
        <v/>
      </c>
      <c r="F375" s="23" t="n"/>
    </row>
    <row r="376" ht="15" customHeight="1">
      <c r="B376" s="27" t="n">
        <v>45665</v>
      </c>
      <c r="C376" s="21" t="n">
        <v>436</v>
      </c>
      <c r="D376" s="14">
        <f>IF(C376="","",IF(C376=0,"",10000000/C376))</f>
        <v/>
      </c>
      <c r="E376" s="22">
        <f>IF(C376="","",C376/630)</f>
        <v/>
      </c>
      <c r="F376" s="23" t="n"/>
    </row>
    <row r="377" ht="15" customHeight="1">
      <c r="B377" s="27" t="n">
        <v>45666</v>
      </c>
      <c r="C377" s="21" t="n">
        <v>438</v>
      </c>
      <c r="D377" s="14">
        <f>IF(C377="","",IF(C377=0,"",10000000/C377))</f>
        <v/>
      </c>
      <c r="E377" s="22">
        <f>IF(C377="","",C377/630)</f>
        <v/>
      </c>
      <c r="F377" s="23" t="n"/>
    </row>
    <row r="378" ht="15" customHeight="1">
      <c r="B378" s="27" t="n">
        <v>45667</v>
      </c>
      <c r="C378" s="21" t="n">
        <v>435</v>
      </c>
      <c r="D378" s="14">
        <f>IF(C378="","",IF(C378=0,"",10000000/C378))</f>
        <v/>
      </c>
      <c r="E378" s="22">
        <f>IF(C378="","",C378/630)</f>
        <v/>
      </c>
      <c r="F378" s="23" t="n"/>
    </row>
    <row r="379" ht="15" customHeight="1">
      <c r="B379" s="27" t="n">
        <v>45668</v>
      </c>
      <c r="C379" s="21" t="n">
        <v>435</v>
      </c>
      <c r="D379" s="14">
        <f>IF(C379="","",IF(C379=0,"",10000000/C379))</f>
        <v/>
      </c>
      <c r="E379" s="22">
        <f>IF(C379="","",C379/630)</f>
        <v/>
      </c>
      <c r="F379" s="23" t="n"/>
    </row>
    <row r="380" ht="15" customHeight="1">
      <c r="B380" s="27" t="n">
        <v>45669</v>
      </c>
      <c r="C380" s="21" t="n">
        <v>440</v>
      </c>
      <c r="D380" s="14">
        <f>IF(C380="","",IF(C380=0,"",10000000/C380))</f>
        <v/>
      </c>
      <c r="E380" s="22">
        <f>IF(C380="","",C380/630)</f>
        <v/>
      </c>
      <c r="F380" s="23" t="n"/>
    </row>
    <row r="381" ht="15" customHeight="1">
      <c r="B381" s="27" t="n">
        <v>45670</v>
      </c>
      <c r="C381" s="21" t="n">
        <v>443</v>
      </c>
      <c r="D381" s="14">
        <f>IF(C381="","",IF(C381=0,"",10000000/C381))</f>
        <v/>
      </c>
      <c r="E381" s="22">
        <f>IF(C381="","",C381/630)</f>
        <v/>
      </c>
      <c r="F381" s="23" t="n"/>
    </row>
    <row r="382" ht="15" customHeight="1">
      <c r="B382" s="27" t="n">
        <v>45671</v>
      </c>
      <c r="C382" s="21" t="n">
        <v>460</v>
      </c>
      <c r="D382" s="14">
        <f>IF(C382="","",IF(C382=0,"",10000000/C382))</f>
        <v/>
      </c>
      <c r="E382" s="22">
        <f>IF(C382="","",C382/630)</f>
        <v/>
      </c>
      <c r="F382" s="23" t="n"/>
    </row>
    <row r="383" ht="15" customHeight="1">
      <c r="B383" s="27" t="n">
        <v>45672</v>
      </c>
      <c r="C383" s="21" t="n">
        <v>470</v>
      </c>
      <c r="D383" s="14">
        <f>IF(C383="","",IF(C383=0,"",10000000/C383))</f>
        <v/>
      </c>
      <c r="E383" s="22">
        <f>IF(C383="","",C383/630)</f>
        <v/>
      </c>
      <c r="F383" s="23" t="n"/>
    </row>
    <row r="384" ht="15" customHeight="1">
      <c r="B384" s="27" t="n">
        <v>45673</v>
      </c>
      <c r="C384" s="21" t="n">
        <v>471</v>
      </c>
      <c r="D384" s="14">
        <f>IF(C384="","",IF(C384=0,"",10000000/C384))</f>
        <v/>
      </c>
      <c r="E384" s="22">
        <f>IF(C384="","",C384/630)</f>
        <v/>
      </c>
      <c r="F384" s="23" t="n"/>
    </row>
    <row r="385" ht="15" customHeight="1">
      <c r="B385" s="27" t="n">
        <v>45674</v>
      </c>
      <c r="C385" s="21" t="n">
        <v>474</v>
      </c>
      <c r="D385" s="14">
        <f>IF(C385="","",IF(C385=0,"",10000000/C385))</f>
        <v/>
      </c>
      <c r="E385" s="22">
        <f>IF(C385="","",C385/630)</f>
        <v/>
      </c>
      <c r="F385" s="23" t="n"/>
    </row>
    <row r="386" ht="15" customHeight="1">
      <c r="B386" s="27" t="n">
        <v>45675</v>
      </c>
      <c r="C386" s="21" t="n">
        <v>474</v>
      </c>
      <c r="D386" s="14">
        <f>IF(C386="","",IF(C386=0,"",10000000/C386))</f>
        <v/>
      </c>
      <c r="E386" s="22">
        <f>IF(C386="","",C386/630)</f>
        <v/>
      </c>
      <c r="F386" s="23" t="n"/>
    </row>
    <row r="387" ht="15" customHeight="1">
      <c r="B387" s="27" t="n">
        <v>45676</v>
      </c>
      <c r="C387" s="21" t="n">
        <v>470</v>
      </c>
      <c r="D387" s="14">
        <f>IF(C387="","",IF(C387=0,"",10000000/C387))</f>
        <v/>
      </c>
      <c r="E387" s="22">
        <f>IF(C387="","",C387/630)</f>
        <v/>
      </c>
      <c r="F387" s="23" t="n"/>
    </row>
    <row r="388" ht="15" customHeight="1">
      <c r="B388" s="27" t="n">
        <v>45677</v>
      </c>
      <c r="C388" s="21" t="n">
        <v>471</v>
      </c>
      <c r="D388" s="14">
        <f>IF(C388="","",IF(C388=0,"",10000000/C388))</f>
        <v/>
      </c>
      <c r="E388" s="22">
        <f>IF(C388="","",C388/630)</f>
        <v/>
      </c>
      <c r="F388" s="23" t="n"/>
    </row>
    <row r="389" ht="15" customHeight="1">
      <c r="B389" s="27" t="n">
        <v>45678</v>
      </c>
      <c r="C389" s="21" t="n">
        <v>461</v>
      </c>
      <c r="D389" s="14">
        <f>IF(C389="","",IF(C389=0,"",10000000/C389))</f>
        <v/>
      </c>
      <c r="E389" s="22">
        <f>IF(C389="","",C389/630)</f>
        <v/>
      </c>
      <c r="F389" s="23" t="n"/>
    </row>
    <row r="390" ht="15" customHeight="1">
      <c r="B390" s="27" t="n">
        <v>45679</v>
      </c>
      <c r="C390" s="21" t="n">
        <v>462</v>
      </c>
      <c r="D390" s="14">
        <f>IF(C390="","",IF(C390=0,"",10000000/C390))</f>
        <v/>
      </c>
      <c r="E390" s="22">
        <f>IF(C390="","",C390/630)</f>
        <v/>
      </c>
      <c r="F390" s="23" t="n"/>
    </row>
    <row r="391" ht="15" customHeight="1">
      <c r="B391" s="27" t="n">
        <v>45680</v>
      </c>
      <c r="C391" s="21" t="n">
        <v>458</v>
      </c>
      <c r="D391" s="14">
        <f>IF(C391="","",IF(C391=0,"",10000000/C391))</f>
        <v/>
      </c>
      <c r="E391" s="22">
        <f>IF(C391="","",C391/630)</f>
        <v/>
      </c>
      <c r="F391" s="23" t="n"/>
    </row>
    <row r="392" ht="15" customHeight="1">
      <c r="B392" s="27" t="n">
        <v>45681</v>
      </c>
      <c r="C392" s="21" t="n">
        <v>452</v>
      </c>
      <c r="D392" s="14">
        <f>IF(C392="","",IF(C392=0,"",10000000/C392))</f>
        <v/>
      </c>
      <c r="E392" s="22">
        <f>IF(C392="","",C392/630)</f>
        <v/>
      </c>
      <c r="F392" s="23" t="n"/>
    </row>
    <row r="393" ht="15" customHeight="1">
      <c r="B393" s="27" t="n">
        <v>45682</v>
      </c>
      <c r="C393" s="21" t="n">
        <v>452</v>
      </c>
      <c r="D393" s="14">
        <f>IF(C393="","",IF(C393=0,"",10000000/C393))</f>
        <v/>
      </c>
      <c r="E393" s="22">
        <f>IF(C393="","",C393/630)</f>
        <v/>
      </c>
      <c r="F393" s="23" t="n"/>
    </row>
    <row r="394" ht="15" customHeight="1">
      <c r="B394" s="27" t="n">
        <v>45683</v>
      </c>
      <c r="C394" s="21" t="n">
        <v>451</v>
      </c>
      <c r="D394" s="14">
        <f>IF(C394="","",IF(C394=0,"",10000000/C394))</f>
        <v/>
      </c>
      <c r="E394" s="22">
        <f>IF(C394="","",C394/630)</f>
        <v/>
      </c>
      <c r="F394" s="23" t="n"/>
    </row>
    <row r="395" ht="15" customHeight="1">
      <c r="B395" s="27" t="n">
        <v>45684</v>
      </c>
      <c r="C395" s="21" t="n">
        <v>448</v>
      </c>
      <c r="D395" s="14">
        <f>IF(C395="","",IF(C395=0,"",10000000/C395))</f>
        <v/>
      </c>
      <c r="E395" s="22">
        <f>IF(C395="","",C395/630)</f>
        <v/>
      </c>
      <c r="F395" s="23" t="n"/>
    </row>
    <row r="396" ht="15" customHeight="1">
      <c r="B396" s="27" t="n">
        <v>45685</v>
      </c>
      <c r="C396" s="21" t="n">
        <v>441</v>
      </c>
      <c r="D396" s="14">
        <f>IF(C396="","",IF(C396=0,"",10000000/C396))</f>
        <v/>
      </c>
      <c r="E396" s="22">
        <f>IF(C396="","",C396/630)</f>
        <v/>
      </c>
      <c r="F396" s="23" t="n"/>
    </row>
    <row r="397" ht="15" customHeight="1">
      <c r="B397" s="27" t="n">
        <v>45686</v>
      </c>
      <c r="C397" s="21" t="n">
        <v>442</v>
      </c>
      <c r="D397" s="14">
        <f>IF(C397="","",IF(C397=0,"",10000000/C397))</f>
        <v/>
      </c>
      <c r="E397" s="22">
        <f>IF(C397="","",C397/630)</f>
        <v/>
      </c>
      <c r="F397" s="23" t="n"/>
    </row>
    <row r="398" ht="15" customHeight="1">
      <c r="B398" s="27" t="n">
        <v>45687</v>
      </c>
      <c r="C398" s="21" t="n">
        <v>435</v>
      </c>
      <c r="D398" s="14">
        <f>IF(C398="","",IF(C398=0,"",10000000/C398))</f>
        <v/>
      </c>
      <c r="E398" s="22">
        <f>IF(C398="","",C398/630)</f>
        <v/>
      </c>
      <c r="F398" s="23" t="n"/>
    </row>
    <row r="399" ht="15" customHeight="1">
      <c r="B399" s="27" t="n">
        <v>45688</v>
      </c>
      <c r="C399" s="21" t="n">
        <v>437</v>
      </c>
      <c r="D399" s="14">
        <f>IF(C399="","",IF(C399=0,"",10000000/C399))</f>
        <v/>
      </c>
      <c r="E399" s="22">
        <f>IF(C399="","",C399/630)</f>
        <v/>
      </c>
      <c r="F399" s="23" t="n"/>
    </row>
    <row r="400" ht="15" customHeight="1">
      <c r="B400" s="27" t="n">
        <v>45689</v>
      </c>
      <c r="C400" s="21" t="n">
        <v>437</v>
      </c>
      <c r="D400" s="14">
        <f>IF(C400="","",IF(C400=0,"",10000000/C400))</f>
        <v/>
      </c>
      <c r="E400" s="22">
        <f>IF(C400="","",C400/630)</f>
        <v/>
      </c>
      <c r="F400" s="23" t="n"/>
    </row>
    <row r="401" ht="15" customHeight="1">
      <c r="B401" s="27" t="n">
        <v>45690</v>
      </c>
      <c r="C401" s="21" t="n">
        <v>448</v>
      </c>
      <c r="D401" s="14">
        <f>IF(C401="","",IF(C401=0,"",10000000/C401))</f>
        <v/>
      </c>
      <c r="E401" s="22">
        <f>IF(C401="","",C401/630)</f>
        <v/>
      </c>
      <c r="F401" s="23" t="n"/>
    </row>
    <row r="402" ht="15" customHeight="1">
      <c r="B402" s="27" t="n">
        <v>45691</v>
      </c>
      <c r="C402" s="21" t="n">
        <v>445</v>
      </c>
      <c r="D402" s="14">
        <f>IF(C402="","",IF(C402=0,"",10000000/C402))</f>
        <v/>
      </c>
      <c r="E402" s="22">
        <f>IF(C402="","",C402/630)</f>
        <v/>
      </c>
      <c r="F402" s="23" t="n"/>
    </row>
    <row r="403" ht="15" customHeight="1">
      <c r="B403" s="27" t="n">
        <v>45692</v>
      </c>
      <c r="C403" s="21" t="n">
        <v>441</v>
      </c>
      <c r="D403" s="14">
        <f>IF(C403="","",IF(C403=0,"",10000000/C403))</f>
        <v/>
      </c>
      <c r="E403" s="22">
        <f>IF(C403="","",C403/630)</f>
        <v/>
      </c>
      <c r="F403" s="23" t="n"/>
    </row>
    <row r="404" ht="15" customHeight="1">
      <c r="B404" s="27" t="n">
        <v>45693</v>
      </c>
      <c r="C404" s="21" t="n">
        <v>448</v>
      </c>
      <c r="D404" s="14">
        <f>IF(C404="","",IF(C404=0,"",10000000/C404))</f>
        <v/>
      </c>
      <c r="E404" s="22">
        <f>IF(C404="","",C404/630)</f>
        <v/>
      </c>
      <c r="F404" s="23" t="n"/>
    </row>
    <row r="405" ht="15" customHeight="1">
      <c r="B405" s="27" t="n">
        <v>45694</v>
      </c>
      <c r="C405" s="21" t="n">
        <v>452</v>
      </c>
      <c r="D405" s="14">
        <f>IF(C405="","",IF(C405=0,"",10000000/C405))</f>
        <v/>
      </c>
      <c r="E405" s="22">
        <f>IF(C405="","",C405/630)</f>
        <v/>
      </c>
      <c r="F405" s="23" t="n"/>
    </row>
    <row r="406" ht="15" customHeight="1">
      <c r="B406" s="27" t="n">
        <v>45695</v>
      </c>
      <c r="C406" s="21" t="n">
        <v>451</v>
      </c>
      <c r="D406" s="14">
        <f>IF(C406="","",IF(C406=0,"",10000000/C406))</f>
        <v/>
      </c>
      <c r="E406" s="22">
        <f>IF(C406="","",C406/630)</f>
        <v/>
      </c>
      <c r="F406" s="23" t="n"/>
    </row>
    <row r="407" ht="15" customHeight="1">
      <c r="B407" s="27" t="n">
        <v>45696</v>
      </c>
      <c r="C407" s="21" t="n">
        <v>452</v>
      </c>
      <c r="D407" s="14">
        <f>IF(C407="","",IF(C407=0,"",10000000/C407))</f>
        <v/>
      </c>
      <c r="E407" s="22">
        <f>IF(C407="","",C407/630)</f>
        <v/>
      </c>
      <c r="F407" s="23" t="n"/>
    </row>
    <row r="408" ht="15" customHeight="1">
      <c r="B408" s="27" t="n">
        <v>45697</v>
      </c>
      <c r="C408" s="21" t="n">
        <v>459</v>
      </c>
      <c r="D408" s="14">
        <f>IF(C408="","",IF(C408=0,"",10000000/C408))</f>
        <v/>
      </c>
      <c r="E408" s="22">
        <f>IF(C408="","",C408/630)</f>
        <v/>
      </c>
      <c r="F408" s="23" t="n"/>
    </row>
    <row r="409" ht="15" customHeight="1">
      <c r="B409" s="27" t="n">
        <v>45698</v>
      </c>
      <c r="C409" s="21" t="n">
        <v>459</v>
      </c>
      <c r="D409" s="14">
        <f>IF(C409="","",IF(C409=0,"",10000000/C409))</f>
        <v/>
      </c>
      <c r="E409" s="22">
        <f>IF(C409="","",C409/630)</f>
        <v/>
      </c>
      <c r="F409" s="23" t="n"/>
    </row>
    <row r="410" ht="15" customHeight="1">
      <c r="B410" s="27" t="n">
        <v>45699</v>
      </c>
      <c r="C410" s="21" t="n">
        <v>455</v>
      </c>
      <c r="D410" s="14">
        <f>IF(C410="","",IF(C410=0,"",10000000/C410))</f>
        <v/>
      </c>
      <c r="E410" s="22">
        <f>IF(C410="","",C410/630)</f>
        <v/>
      </c>
      <c r="F410" s="23" t="n"/>
    </row>
    <row r="411" ht="15" customHeight="1">
      <c r="B411" s="27" t="n">
        <v>45700</v>
      </c>
      <c r="C411" s="21" t="n">
        <v>447</v>
      </c>
      <c r="D411" s="14">
        <f>IF(C411="","",IF(C411=0,"",10000000/C411))</f>
        <v/>
      </c>
      <c r="E411" s="22">
        <f>IF(C411="","",C411/630)</f>
        <v/>
      </c>
      <c r="F411" s="23" t="n"/>
    </row>
    <row r="412" ht="15" customHeight="1">
      <c r="B412" s="27" t="n">
        <v>45701</v>
      </c>
      <c r="C412" s="21" t="n">
        <v>443</v>
      </c>
      <c r="D412" s="14">
        <f>IF(C412="","",IF(C412=0,"",10000000/C412))</f>
        <v/>
      </c>
      <c r="E412" s="22">
        <f>IF(C412="","",C412/630)</f>
        <v/>
      </c>
      <c r="F412" s="23" t="n"/>
    </row>
    <row r="413" ht="15" customHeight="1">
      <c r="B413" s="27" t="n">
        <v>45702</v>
      </c>
      <c r="C413" s="21" t="n">
        <v>448</v>
      </c>
      <c r="D413" s="14">
        <f>IF(C413="","",IF(C413=0,"",10000000/C413))</f>
        <v/>
      </c>
      <c r="E413" s="22">
        <f>IF(C413="","",C413/630)</f>
        <v/>
      </c>
      <c r="F413" s="23" t="n"/>
    </row>
    <row r="414" ht="15" customHeight="1">
      <c r="B414" s="27" t="n">
        <v>45703</v>
      </c>
      <c r="C414" s="21" t="n">
        <v>448</v>
      </c>
      <c r="D414" s="14">
        <f>IF(C414="","",IF(C414=0,"",10000000/C414))</f>
        <v/>
      </c>
      <c r="E414" s="22">
        <f>IF(C414="","",C414/630)</f>
        <v/>
      </c>
      <c r="F414" s="23" t="n"/>
    </row>
    <row r="415" ht="15" customHeight="1">
      <c r="B415" s="27" t="n">
        <v>45704</v>
      </c>
      <c r="C415" s="21" t="n">
        <v>451</v>
      </c>
      <c r="D415" s="14">
        <f>IF(C415="","",IF(C415=0,"",10000000/C415))</f>
        <v/>
      </c>
      <c r="E415" s="22">
        <f>IF(C415="","",C415/630)</f>
        <v/>
      </c>
      <c r="F415" s="23" t="n"/>
    </row>
    <row r="416" ht="15" customHeight="1">
      <c r="B416" s="27" t="n">
        <v>45705</v>
      </c>
      <c r="C416" s="21" t="n">
        <v>452</v>
      </c>
      <c r="D416" s="14">
        <f>IF(C416="","",IF(C416=0,"",10000000/C416))</f>
        <v/>
      </c>
      <c r="E416" s="22">
        <f>IF(C416="","",C416/630)</f>
        <v/>
      </c>
      <c r="F416" s="23" t="n"/>
    </row>
    <row r="417" ht="15" customHeight="1">
      <c r="B417" s="27" t="n">
        <v>45706</v>
      </c>
      <c r="C417" s="21" t="n">
        <v>457</v>
      </c>
      <c r="D417" s="14">
        <f>IF(C417="","",IF(C417=0,"",10000000/C417))</f>
        <v/>
      </c>
      <c r="E417" s="22">
        <f>IF(C417="","",C417/630)</f>
        <v/>
      </c>
      <c r="F417" s="23" t="n"/>
    </row>
    <row r="418" ht="15" customHeight="1">
      <c r="B418" s="27" t="n">
        <v>45707</v>
      </c>
      <c r="C418" s="21" t="n">
        <v>459</v>
      </c>
      <c r="D418" s="14">
        <f>IF(C418="","",IF(C418=0,"",10000000/C418))</f>
        <v/>
      </c>
      <c r="E418" s="22">
        <f>IF(C418="","",C418/630)</f>
        <v/>
      </c>
      <c r="F418" s="23" t="n"/>
    </row>
    <row r="419" ht="15" customHeight="1">
      <c r="B419" s="27" t="n">
        <v>45708</v>
      </c>
      <c r="C419" s="21" t="n">
        <v>457</v>
      </c>
      <c r="D419" s="14">
        <f>IF(C419="","",IF(C419=0,"",10000000/C419))</f>
        <v/>
      </c>
      <c r="E419" s="22">
        <f>IF(C419="","",C419/630)</f>
        <v/>
      </c>
      <c r="F419" s="23" t="n"/>
    </row>
    <row r="420" ht="15" customHeight="1">
      <c r="B420" s="27" t="n">
        <v>45709</v>
      </c>
      <c r="C420" s="21" t="n">
        <v>452</v>
      </c>
      <c r="D420" s="14">
        <f>IF(C420="","",IF(C420=0,"",10000000/C420))</f>
        <v/>
      </c>
      <c r="E420" s="22">
        <f>IF(C420="","",C420/630)</f>
        <v/>
      </c>
      <c r="F420" s="23" t="n"/>
    </row>
    <row r="421" ht="15" customHeight="1">
      <c r="B421" s="27" t="n">
        <v>45710</v>
      </c>
      <c r="C421" s="21" t="n">
        <v>452</v>
      </c>
      <c r="D421" s="14">
        <f>IF(C421="","",IF(C421=0,"",10000000/C421))</f>
        <v/>
      </c>
      <c r="E421" s="22">
        <f>IF(C421="","",C421/630)</f>
        <v/>
      </c>
      <c r="F421" s="23" t="n"/>
    </row>
    <row r="422" ht="15" customHeight="1">
      <c r="B422" s="27" t="n">
        <v>45711</v>
      </c>
      <c r="C422" s="21" t="n">
        <v>454</v>
      </c>
      <c r="D422" s="14">
        <f>IF(C422="","",IF(C422=0,"",10000000/C422))</f>
        <v/>
      </c>
      <c r="E422" s="22">
        <f>IF(C422="","",C422/630)</f>
        <v/>
      </c>
      <c r="F422" s="23" t="n"/>
    </row>
    <row r="423" ht="15" customHeight="1">
      <c r="B423" s="27" t="n">
        <v>45712</v>
      </c>
      <c r="C423" s="21" t="n">
        <v>450</v>
      </c>
      <c r="D423" s="14">
        <f>IF(C423="","",IF(C423=0,"",10000000/C423))</f>
        <v/>
      </c>
      <c r="E423" s="22">
        <f>IF(C423="","",C423/630)</f>
        <v/>
      </c>
      <c r="F423" s="23" t="n"/>
    </row>
    <row r="424" ht="15" customHeight="1">
      <c r="B424" s="27" t="n">
        <v>45713</v>
      </c>
      <c r="C424" s="21" t="n">
        <v>453</v>
      </c>
      <c r="D424" s="14">
        <f>IF(C424="","",IF(C424=0,"",10000000/C424))</f>
        <v/>
      </c>
      <c r="E424" s="22">
        <f>IF(C424="","",C424/630)</f>
        <v/>
      </c>
      <c r="F424" s="23" t="n"/>
    </row>
    <row r="425" ht="15" customHeight="1">
      <c r="B425" s="27" t="n">
        <v>45714</v>
      </c>
      <c r="C425" s="21" t="n">
        <v>454</v>
      </c>
      <c r="D425" s="14">
        <f>IF(C425="","",IF(C425=0,"",10000000/C425))</f>
        <v/>
      </c>
      <c r="E425" s="22">
        <f>IF(C425="","",C425/630)</f>
        <v/>
      </c>
      <c r="F425" s="23" t="n"/>
    </row>
    <row r="426" ht="15" customHeight="1">
      <c r="B426" s="27" t="n">
        <v>45715</v>
      </c>
      <c r="C426" s="21" t="n">
        <v>455</v>
      </c>
      <c r="D426" s="14">
        <f>IF(C426="","",IF(C426=0,"",10000000/C426))</f>
        <v/>
      </c>
      <c r="E426" s="22">
        <f>IF(C426="","",C426/630)</f>
        <v/>
      </c>
      <c r="F426" s="23" t="n"/>
    </row>
    <row r="427" ht="15" customHeight="1">
      <c r="B427" s="27" t="n">
        <v>45716</v>
      </c>
      <c r="C427" s="21" t="n">
        <v>458</v>
      </c>
      <c r="D427" s="14">
        <f>IF(C427="","",IF(C427=0,"",10000000/C427))</f>
        <v/>
      </c>
      <c r="E427" s="22">
        <f>IF(C427="","",C427/630)</f>
        <v/>
      </c>
      <c r="F427" s="23" t="n"/>
    </row>
    <row r="428" ht="15" customHeight="1">
      <c r="B428" s="27" t="n">
        <v>45717</v>
      </c>
      <c r="C428" s="21" t="n">
        <v>458</v>
      </c>
      <c r="D428" s="14">
        <f>IF(C428="","",IF(C428=0,"",10000000/C428))</f>
        <v/>
      </c>
      <c r="E428" s="22">
        <f>IF(C428="","",C428/630)</f>
        <v/>
      </c>
      <c r="F428" s="23" t="n"/>
    </row>
    <row r="429" ht="15" customHeight="1">
      <c r="B429" s="27" t="n">
        <v>45718</v>
      </c>
      <c r="C429" s="21" t="n">
        <v>459</v>
      </c>
      <c r="D429" s="14">
        <f>IF(C429="","",IF(C429=0,"",10000000/C429))</f>
        <v/>
      </c>
      <c r="E429" s="22">
        <f>IF(C429="","",C429/630)</f>
        <v/>
      </c>
      <c r="F429" s="23" t="n"/>
    </row>
    <row r="430" ht="15" customHeight="1">
      <c r="B430" s="27" t="n">
        <v>45719</v>
      </c>
      <c r="C430" s="21" t="n">
        <v>473</v>
      </c>
      <c r="D430" s="14">
        <f>IF(C430="","",IF(C430=0,"",10000000/C430))</f>
        <v/>
      </c>
      <c r="E430" s="22">
        <f>IF(C430="","",C430/630)</f>
        <v/>
      </c>
      <c r="F430" s="23" t="n"/>
    </row>
    <row r="431" ht="15" customHeight="1">
      <c r="B431" s="27" t="n">
        <v>45720</v>
      </c>
      <c r="C431" s="21" t="n">
        <v>475</v>
      </c>
      <c r="D431" s="14">
        <f>IF(C431="","",IF(C431=0,"",10000000/C431))</f>
        <v/>
      </c>
      <c r="E431" s="22">
        <f>IF(C431="","",C431/630)</f>
        <v/>
      </c>
      <c r="F431" s="23" t="n"/>
    </row>
    <row r="432" ht="15" customHeight="1">
      <c r="B432" s="27" t="n">
        <v>45721</v>
      </c>
      <c r="C432" s="21" t="n">
        <v>489</v>
      </c>
      <c r="D432" s="14">
        <f>IF(C432="","",IF(C432=0,"",10000000/C432))</f>
        <v/>
      </c>
      <c r="E432" s="22">
        <f>IF(C432="","",C432/630)</f>
        <v/>
      </c>
      <c r="F432" s="23" t="n"/>
    </row>
    <row r="433" ht="15" customHeight="1">
      <c r="B433" s="27" t="n">
        <v>45722</v>
      </c>
      <c r="C433" s="21" t="n">
        <v>492</v>
      </c>
      <c r="D433" s="14">
        <f>IF(C433="","",IF(C433=0,"",10000000/C433))</f>
        <v/>
      </c>
      <c r="E433" s="22">
        <f>IF(C433="","",C433/630)</f>
        <v/>
      </c>
      <c r="F433" s="23" t="n"/>
    </row>
    <row r="434" ht="15" customHeight="1">
      <c r="B434" s="27" t="n">
        <v>45723</v>
      </c>
      <c r="C434" s="21" t="n">
        <v>495</v>
      </c>
      <c r="D434" s="14">
        <f>IF(C434="","",IF(C434=0,"",10000000/C434))</f>
        <v/>
      </c>
      <c r="E434" s="22">
        <f>IF(C434="","",C434/630)</f>
        <v/>
      </c>
      <c r="F434" s="23" t="n"/>
    </row>
    <row r="435" ht="15" customHeight="1">
      <c r="B435" s="27" t="n">
        <v>45724</v>
      </c>
      <c r="C435" s="21" t="n">
        <v>496</v>
      </c>
      <c r="D435" s="14">
        <f>IF(C435="","",IF(C435=0,"",10000000/C435))</f>
        <v/>
      </c>
      <c r="E435" s="22">
        <f>IF(C435="","",C435/630)</f>
        <v/>
      </c>
      <c r="F435" s="23" t="n"/>
    </row>
    <row r="436" ht="15" customHeight="1">
      <c r="B436" s="27" t="n">
        <v>45725</v>
      </c>
      <c r="C436" s="21" t="n">
        <v>486</v>
      </c>
      <c r="D436" s="14">
        <f>IF(C436="","",IF(C436=0,"",10000000/C436))</f>
        <v/>
      </c>
      <c r="E436" s="22">
        <f>IF(C436="","",C436/630)</f>
        <v/>
      </c>
      <c r="F436" s="23" t="n"/>
    </row>
    <row r="437" ht="15" customHeight="1">
      <c r="B437" s="27" t="n">
        <v>45726</v>
      </c>
      <c r="C437" s="21" t="n">
        <v>486</v>
      </c>
      <c r="D437" s="14">
        <f>IF(C437="","",IF(C437=0,"",10000000/C437))</f>
        <v/>
      </c>
      <c r="E437" s="22">
        <f>IF(C437="","",C437/630)</f>
        <v/>
      </c>
      <c r="F437" s="23" t="n"/>
    </row>
    <row r="438" ht="15" customHeight="1">
      <c r="B438" s="27" t="n">
        <v>45727</v>
      </c>
      <c r="C438" s="21" t="n">
        <v>483</v>
      </c>
      <c r="D438" s="14">
        <f>IF(C438="","",IF(C438=0,"",10000000/C438))</f>
        <v/>
      </c>
      <c r="E438" s="22">
        <f>IF(C438="","",C438/630)</f>
        <v/>
      </c>
      <c r="F438" s="23" t="n"/>
    </row>
    <row r="439" ht="15" customHeight="1">
      <c r="B439" s="27" t="n">
        <v>45728</v>
      </c>
      <c r="C439" s="21" t="n">
        <v>498</v>
      </c>
      <c r="D439" s="14">
        <f>IF(C439="","",IF(C439=0,"",10000000/C439))</f>
        <v/>
      </c>
      <c r="E439" s="22">
        <f>IF(C439="","",C439/630)</f>
        <v/>
      </c>
      <c r="F439" s="23" t="n"/>
    </row>
    <row r="440" ht="15" customHeight="1">
      <c r="B440" s="27" t="n">
        <v>45729</v>
      </c>
      <c r="C440" s="21" t="n">
        <v>502</v>
      </c>
      <c r="D440" s="14">
        <f>IF(C440="","",IF(C440=0,"",10000000/C440))</f>
        <v/>
      </c>
      <c r="E440" s="22">
        <f>IF(C440="","",C440/630)</f>
        <v/>
      </c>
      <c r="F440" s="23" t="n"/>
    </row>
    <row r="441" ht="15" customHeight="1">
      <c r="B441" s="27" t="n">
        <v>45730</v>
      </c>
      <c r="C441" s="21" t="n">
        <v>523</v>
      </c>
      <c r="D441" s="14">
        <f>IF(C441="","",IF(C441=0,"",10000000/C441))</f>
        <v/>
      </c>
      <c r="E441" s="22">
        <f>IF(C441="","",C441/630)</f>
        <v/>
      </c>
      <c r="F441" s="23" t="n"/>
    </row>
    <row r="442" ht="15" customHeight="1">
      <c r="B442" s="27" t="n">
        <v>45731</v>
      </c>
      <c r="C442" s="21" t="n">
        <v>523</v>
      </c>
      <c r="D442" s="14">
        <f>IF(C442="","",IF(C442=0,"",10000000/C442))</f>
        <v/>
      </c>
      <c r="E442" s="22">
        <f>IF(C442="","",C442/630)</f>
        <v/>
      </c>
      <c r="F442" s="23" t="n"/>
    </row>
    <row r="443" ht="15" customHeight="1">
      <c r="B443" s="27" t="n">
        <v>45732</v>
      </c>
      <c r="C443" s="21" t="n">
        <v>524</v>
      </c>
      <c r="D443" s="14">
        <f>IF(C443="","",IF(C443=0,"",10000000/C443))</f>
        <v/>
      </c>
      <c r="E443" s="22">
        <f>IF(C443="","",C443/630)</f>
        <v/>
      </c>
      <c r="F443" s="23" t="n"/>
    </row>
    <row r="444" ht="15" customHeight="1">
      <c r="B444" s="27" t="n">
        <v>45733</v>
      </c>
      <c r="C444" s="21" t="n">
        <v>515</v>
      </c>
      <c r="D444" s="14">
        <f>IF(C444="","",IF(C444=0,"",10000000/C444))</f>
        <v/>
      </c>
      <c r="E444" s="22">
        <f>IF(C444="","",C444/630)</f>
        <v/>
      </c>
      <c r="F444" s="23" t="n"/>
    </row>
    <row r="445" ht="15" customHeight="1">
      <c r="B445" s="27" t="n">
        <v>45734</v>
      </c>
      <c r="C445" s="21" t="n">
        <v>514</v>
      </c>
      <c r="D445" s="14">
        <f>IF(C445="","",IF(C445=0,"",10000000/C445))</f>
        <v/>
      </c>
      <c r="E445" s="22">
        <f>IF(C445="","",C445/630)</f>
        <v/>
      </c>
      <c r="F445" s="23" t="n"/>
    </row>
    <row r="446" ht="15" customHeight="1">
      <c r="B446" s="27" t="n">
        <v>45735</v>
      </c>
      <c r="C446" s="21" t="n">
        <v>512</v>
      </c>
      <c r="D446" s="14">
        <f>IF(C446="","",IF(C446=0,"",10000000/C446))</f>
        <v/>
      </c>
      <c r="E446" s="22">
        <f>IF(C446="","",C446/630)</f>
        <v/>
      </c>
      <c r="F446" s="23" t="n"/>
    </row>
    <row r="447" ht="15" customHeight="1">
      <c r="B447" s="27" t="n">
        <v>45736</v>
      </c>
      <c r="C447" s="21" t="n">
        <v>520</v>
      </c>
      <c r="D447" s="14">
        <f>IF(C447="","",IF(C447=0,"",10000000/C447))</f>
        <v/>
      </c>
      <c r="E447" s="22">
        <f>IF(C447="","",C447/630)</f>
        <v/>
      </c>
      <c r="F447" s="23" t="n"/>
    </row>
    <row r="448" ht="15" customHeight="1">
      <c r="B448" s="27" t="n">
        <v>45737</v>
      </c>
      <c r="C448" s="21" t="n">
        <v>519</v>
      </c>
      <c r="D448" s="14">
        <f>IF(C448="","",IF(C448=0,"",10000000/C448))</f>
        <v/>
      </c>
      <c r="E448" s="22">
        <f>IF(C448="","",C448/630)</f>
        <v/>
      </c>
      <c r="F448" s="23" t="n"/>
    </row>
    <row r="449" ht="15" customHeight="1">
      <c r="B449" s="27" t="n">
        <v>45738</v>
      </c>
      <c r="C449" s="21" t="n">
        <v>519</v>
      </c>
      <c r="D449" s="14">
        <f>IF(C449="","",IF(C449=0,"",10000000/C449))</f>
        <v/>
      </c>
      <c r="E449" s="22">
        <f>IF(C449="","",C449/630)</f>
        <v/>
      </c>
      <c r="F449" s="23" t="n"/>
    </row>
    <row r="450" ht="15" customHeight="1">
      <c r="B450" s="27" t="n">
        <v>45739</v>
      </c>
      <c r="C450" s="21" t="n">
        <v>536</v>
      </c>
      <c r="D450" s="14">
        <f>IF(C450="","",IF(C450=0,"",10000000/C450))</f>
        <v/>
      </c>
      <c r="E450" s="22">
        <f>IF(C450="","",C450/630)</f>
        <v/>
      </c>
      <c r="F450" s="23" t="n"/>
    </row>
    <row r="451" ht="15" customHeight="1">
      <c r="B451" s="27" t="n">
        <v>45740</v>
      </c>
      <c r="C451" s="21" t="n">
        <v>528</v>
      </c>
      <c r="D451" s="14">
        <f>IF(C451="","",IF(C451=0,"",10000000/C451))</f>
        <v/>
      </c>
      <c r="E451" s="22">
        <f>IF(C451="","",C451/630)</f>
        <v/>
      </c>
      <c r="F451" s="23" t="n"/>
    </row>
    <row r="452" ht="15" customHeight="1">
      <c r="B452" s="27" t="n">
        <v>45741</v>
      </c>
      <c r="C452" s="21" t="n">
        <v>529</v>
      </c>
      <c r="D452" s="14">
        <f>IF(C452="","",IF(C452=0,"",10000000/C452))</f>
        <v/>
      </c>
      <c r="E452" s="22">
        <f>IF(C452="","",C452/630)</f>
        <v/>
      </c>
      <c r="F452" s="23" t="n"/>
    </row>
    <row r="453" ht="15" customHeight="1">
      <c r="B453" s="27" t="n">
        <v>45742</v>
      </c>
      <c r="C453" s="21" t="n">
        <v>527</v>
      </c>
      <c r="D453" s="14">
        <f>IF(C453="","",IF(C453=0,"",10000000/C453))</f>
        <v/>
      </c>
      <c r="E453" s="22">
        <f>IF(C453="","",C453/630)</f>
        <v/>
      </c>
      <c r="F453" s="23" t="n"/>
    </row>
    <row r="454" ht="15" customHeight="1">
      <c r="B454" s="27" t="n">
        <v>45743</v>
      </c>
      <c r="C454" s="21" t="n">
        <v>520</v>
      </c>
      <c r="D454" s="14">
        <f>IF(C454="","",IF(C454=0,"",10000000/C454))</f>
        <v/>
      </c>
      <c r="E454" s="22">
        <f>IF(C454="","",C454/630)</f>
        <v/>
      </c>
      <c r="F454" s="23" t="n"/>
    </row>
    <row r="455" ht="15" customHeight="1">
      <c r="B455" s="27" t="n">
        <v>45744</v>
      </c>
      <c r="C455" s="21" t="n">
        <v>519</v>
      </c>
      <c r="D455" s="14">
        <f>IF(C455="","",IF(C455=0,"",10000000/C455))</f>
        <v/>
      </c>
      <c r="E455" s="22">
        <f>IF(C455="","",C455/630)</f>
        <v/>
      </c>
      <c r="F455" s="23" t="n"/>
    </row>
    <row r="456" ht="15" customHeight="1">
      <c r="B456" s="27" t="n">
        <v>45745</v>
      </c>
      <c r="C456" s="21" t="n">
        <v>519</v>
      </c>
      <c r="D456" s="14">
        <f>IF(C456="","",IF(C456=0,"",10000000/C456))</f>
        <v/>
      </c>
      <c r="E456" s="22">
        <f>IF(C456="","",C456/630)</f>
        <v/>
      </c>
      <c r="F456" s="23" t="n"/>
    </row>
    <row r="457" ht="15" customHeight="1">
      <c r="B457" s="27" t="n">
        <v>45746</v>
      </c>
      <c r="C457" s="21" t="n">
        <v>531</v>
      </c>
      <c r="D457" s="14">
        <f>IF(C457="","",IF(C457=0,"",10000000/C457))</f>
        <v/>
      </c>
      <c r="E457" s="22">
        <f>IF(C457="","",C457/630)</f>
        <v/>
      </c>
      <c r="F457" s="23" t="n"/>
    </row>
    <row r="458" ht="15" customHeight="1">
      <c r="B458" s="27" t="n">
        <v>45747</v>
      </c>
      <c r="C458" s="21" t="n">
        <v>535</v>
      </c>
      <c r="D458" s="14">
        <f>IF(C458="","",IF(C458=0,"",10000000/C458))</f>
        <v/>
      </c>
      <c r="E458" s="22">
        <f>IF(C458="","",C458/630)</f>
        <v/>
      </c>
      <c r="F458" s="23" t="n"/>
    </row>
    <row r="459" ht="15" customHeight="1">
      <c r="B459" s="27" t="n">
        <v>45748</v>
      </c>
      <c r="C459" s="21" t="n">
        <v>568</v>
      </c>
      <c r="D459" s="14">
        <f>IF(C459="","",IF(C459=0,"",10000000/C459))</f>
        <v/>
      </c>
      <c r="E459" s="22">
        <f>IF(C459="","",C459/630)</f>
        <v/>
      </c>
      <c r="F459" s="23" t="n"/>
    </row>
    <row r="460" ht="15" customHeight="1">
      <c r="B460" s="27" t="n">
        <v>45749</v>
      </c>
      <c r="C460" s="21" t="n">
        <v>583</v>
      </c>
      <c r="D460" s="14">
        <f>IF(C460="","",IF(C460=0,"",10000000/C460))</f>
        <v/>
      </c>
      <c r="E460" s="22">
        <f>IF(C460="","",C460/630)</f>
        <v/>
      </c>
      <c r="F460" s="23" t="n"/>
    </row>
    <row r="461" ht="15" customHeight="1">
      <c r="B461" s="27" t="n">
        <v>45750</v>
      </c>
      <c r="C461" s="21" t="n">
        <v>581</v>
      </c>
      <c r="D461" s="14">
        <f>IF(C461="","",IF(C461=0,"",10000000/C461))</f>
        <v/>
      </c>
      <c r="E461" s="22">
        <f>IF(C461="","",C461/630)</f>
        <v/>
      </c>
      <c r="F461" s="23" t="n"/>
    </row>
    <row r="462" ht="15" customHeight="1">
      <c r="B462" s="27" t="n">
        <v>45751</v>
      </c>
      <c r="C462" s="21" t="n">
        <v>567</v>
      </c>
      <c r="D462" s="14">
        <f>IF(C462="","",IF(C462=0,"",10000000/C462))</f>
        <v/>
      </c>
      <c r="E462" s="22">
        <f>IF(C462="","",C462/630)</f>
        <v/>
      </c>
      <c r="F462" s="23" t="n"/>
    </row>
    <row r="463" ht="15" customHeight="1">
      <c r="B463" s="27" t="n">
        <v>45752</v>
      </c>
      <c r="C463" s="21" t="n">
        <v>569</v>
      </c>
      <c r="D463" s="14">
        <f>IF(C463="","",IF(C463=0,"",10000000/C463))</f>
        <v/>
      </c>
      <c r="E463" s="22">
        <f>IF(C463="","",C463/630)</f>
        <v/>
      </c>
      <c r="F463" s="23" t="n"/>
    </row>
    <row r="464" ht="15" customHeight="1">
      <c r="B464" s="27" t="n">
        <v>45753</v>
      </c>
      <c r="C464" s="21" t="n">
        <v>565</v>
      </c>
      <c r="D464" s="14">
        <f>IF(C464="","",IF(C464=0,"",10000000/C464))</f>
        <v/>
      </c>
      <c r="E464" s="22">
        <f>IF(C464="","",C464/630)</f>
        <v/>
      </c>
      <c r="F464" s="23" t="n"/>
    </row>
    <row r="465" ht="15" customHeight="1">
      <c r="B465" s="27" t="n">
        <v>45754</v>
      </c>
      <c r="C465" s="21" t="n">
        <v>559</v>
      </c>
      <c r="D465" s="14">
        <f>IF(C465="","",IF(C465=0,"",10000000/C465))</f>
        <v/>
      </c>
      <c r="E465" s="22">
        <f>IF(C465="","",C465/630)</f>
        <v/>
      </c>
      <c r="F465" s="23" t="n"/>
    </row>
    <row r="466" ht="15" customHeight="1">
      <c r="B466" s="27" t="n">
        <v>45755</v>
      </c>
      <c r="C466" s="21" t="n">
        <v>570</v>
      </c>
      <c r="D466" s="14">
        <f>IF(C466="","",IF(C466=0,"",10000000/C466))</f>
        <v/>
      </c>
      <c r="E466" s="22">
        <f>IF(C466="","",C466/630)</f>
        <v/>
      </c>
      <c r="F466" s="23" t="n"/>
    </row>
    <row r="467" ht="15" customHeight="1">
      <c r="B467" s="27" t="n">
        <v>45756</v>
      </c>
      <c r="C467" s="21" t="n">
        <v>578</v>
      </c>
      <c r="D467" s="14">
        <f>IF(C467="","",IF(C467=0,"",10000000/C467))</f>
        <v/>
      </c>
      <c r="E467" s="22">
        <f>IF(C467="","",C467/630)</f>
        <v/>
      </c>
      <c r="F467" s="23" t="n"/>
    </row>
    <row r="468" ht="15" customHeight="1">
      <c r="B468" s="27" t="n">
        <v>45757</v>
      </c>
      <c r="C468" s="21" t="n">
        <v>588</v>
      </c>
      <c r="D468" s="14">
        <f>IF(C468="","",IF(C468=0,"",10000000/C468))</f>
        <v/>
      </c>
      <c r="E468" s="22">
        <f>IF(C468="","",C468/630)</f>
        <v/>
      </c>
      <c r="F468" s="23" t="n"/>
    </row>
    <row r="469" ht="15" customHeight="1">
      <c r="B469" s="27" t="n">
        <v>45758</v>
      </c>
      <c r="C469" s="21" t="n">
        <v>591</v>
      </c>
      <c r="D469" s="14">
        <f>IF(C469="","",IF(C469=0,"",10000000/C469))</f>
        <v/>
      </c>
      <c r="E469" s="22">
        <f>IF(C469="","",C469/630)</f>
        <v/>
      </c>
      <c r="F469" s="23" t="n"/>
    </row>
    <row r="470" ht="15" customHeight="1">
      <c r="B470" s="27" t="n">
        <v>45759</v>
      </c>
      <c r="C470" s="21" t="n">
        <v>591</v>
      </c>
      <c r="D470" s="14">
        <f>IF(C470="","",IF(C470=0,"",10000000/C470))</f>
        <v/>
      </c>
      <c r="E470" s="22">
        <f>IF(C470="","",C470/630)</f>
        <v/>
      </c>
      <c r="F470" s="23" t="n"/>
    </row>
    <row r="471" ht="15" customHeight="1">
      <c r="B471" s="27" t="n">
        <v>45760</v>
      </c>
      <c r="C471" s="21" t="n">
        <v>603</v>
      </c>
      <c r="D471" s="14">
        <f>IF(C471="","",IF(C471=0,"",10000000/C471))</f>
        <v/>
      </c>
      <c r="E471" s="22">
        <f>IF(C471="","",C471/630)</f>
        <v/>
      </c>
      <c r="F471" s="23" t="n"/>
    </row>
    <row r="472" ht="15" customHeight="1">
      <c r="B472" s="27" t="n">
        <v>45761</v>
      </c>
      <c r="C472" s="21" t="n">
        <v>597</v>
      </c>
      <c r="D472" s="14">
        <f>IF(C472="","",IF(C472=0,"",10000000/C472))</f>
        <v/>
      </c>
      <c r="E472" s="22">
        <f>IF(C472="","",C472/630)</f>
        <v/>
      </c>
      <c r="F472" s="23" t="n"/>
    </row>
    <row r="473" ht="15" customHeight="1">
      <c r="B473" s="27" t="n">
        <v>45762</v>
      </c>
      <c r="C473" s="21" t="n">
        <v>596</v>
      </c>
      <c r="D473" s="14">
        <f>IF(C473="","",IF(C473=0,"",10000000/C473))</f>
        <v/>
      </c>
      <c r="E473" s="22">
        <f>IF(C473="","",C473/630)</f>
        <v/>
      </c>
      <c r="F473" s="23" t="n"/>
    </row>
    <row r="474" ht="15" customHeight="1">
      <c r="B474" s="27" t="n">
        <v>45763</v>
      </c>
      <c r="C474" s="21" t="n">
        <v>595</v>
      </c>
      <c r="D474" s="14">
        <f>IF(C474="","",IF(C474=0,"",10000000/C474))</f>
        <v/>
      </c>
      <c r="E474" s="22">
        <f>IF(C474="","",C474/630)</f>
        <v/>
      </c>
      <c r="F474" s="23" t="n"/>
    </row>
    <row r="475" ht="15" customHeight="1">
      <c r="B475" s="27" t="n">
        <v>45764</v>
      </c>
      <c r="C475" s="21" t="n">
        <v>598</v>
      </c>
      <c r="D475" s="14">
        <f>IF(C475="","",IF(C475=0,"",10000000/C475))</f>
        <v/>
      </c>
      <c r="E475" s="22">
        <f>IF(C475="","",C475/630)</f>
        <v/>
      </c>
      <c r="F475" s="23" t="n"/>
    </row>
    <row r="476" ht="15" customHeight="1">
      <c r="B476" s="27" t="n">
        <v>45765</v>
      </c>
      <c r="C476" s="21" t="n">
        <v>598</v>
      </c>
      <c r="D476" s="14">
        <f>IF(C476="","",IF(C476=0,"",10000000/C476))</f>
        <v/>
      </c>
      <c r="E476" s="22">
        <f>IF(C476="","",C476/630)</f>
        <v/>
      </c>
      <c r="F476" s="23" t="n"/>
    </row>
    <row r="477" ht="15" customHeight="1">
      <c r="B477" s="27" t="n">
        <v>45766</v>
      </c>
      <c r="C477" s="21" t="n">
        <v>598</v>
      </c>
      <c r="D477" s="14">
        <f>IF(C477="","",IF(C477=0,"",10000000/C477))</f>
        <v/>
      </c>
      <c r="E477" s="22">
        <f>IF(C477="","",C477/630)</f>
        <v/>
      </c>
      <c r="F477" s="23" t="n"/>
    </row>
    <row r="478" ht="15" customHeight="1">
      <c r="B478" s="27" t="n">
        <v>45767</v>
      </c>
      <c r="C478" s="21" t="n">
        <v>615</v>
      </c>
      <c r="D478" s="14">
        <f>IF(C478="","",IF(C478=0,"",10000000/C478))</f>
        <v/>
      </c>
      <c r="E478" s="22">
        <f>IF(C478="","",C478/630)</f>
        <v/>
      </c>
      <c r="F478" s="23" t="n"/>
    </row>
    <row r="479" ht="15" customHeight="1">
      <c r="B479" s="27" t="n">
        <v>45768</v>
      </c>
      <c r="C479" s="21" t="n">
        <v>615</v>
      </c>
      <c r="D479" s="14">
        <f>IF(C479="","",IF(C479=0,"",10000000/C479))</f>
        <v/>
      </c>
      <c r="E479" s="22">
        <f>IF(C479="","",C479/630)</f>
        <v/>
      </c>
      <c r="F479" s="23" t="n"/>
    </row>
    <row r="480" ht="15" customHeight="1">
      <c r="B480" s="27" t="n">
        <v>45769</v>
      </c>
      <c r="C480" s="21" t="n">
        <v>618</v>
      </c>
      <c r="D480" s="14">
        <f>IF(C480="","",IF(C480=0,"",10000000/C480))</f>
        <v/>
      </c>
      <c r="E480" s="22">
        <f>IF(C480="","",C480/630)</f>
        <v/>
      </c>
      <c r="F480" s="23" t="n"/>
    </row>
    <row r="481" ht="15" customHeight="1">
      <c r="B481" s="27" t="n">
        <v>45770</v>
      </c>
      <c r="C481" s="21" t="n">
        <v>617</v>
      </c>
      <c r="D481" s="14">
        <f>IF(C481="","",IF(C481=0,"",10000000/C481))</f>
        <v/>
      </c>
      <c r="E481" s="22">
        <f>IF(C481="","",C481/630)</f>
        <v/>
      </c>
      <c r="F481" s="23" t="n"/>
    </row>
    <row r="482" ht="15" customHeight="1">
      <c r="B482" s="27" t="n">
        <v>45771</v>
      </c>
      <c r="C482" s="21" t="n">
        <v>611</v>
      </c>
      <c r="D482" s="14">
        <f>IF(C482="","",IF(C482=0,"",10000000/C482))</f>
        <v/>
      </c>
      <c r="E482" s="22">
        <f>IF(C482="","",C482/630)</f>
        <v/>
      </c>
      <c r="F482" s="23" t="n"/>
    </row>
    <row r="483" ht="15" customHeight="1">
      <c r="B483" s="27" t="n">
        <v>45772</v>
      </c>
      <c r="C483" s="21" t="n">
        <v>611</v>
      </c>
      <c r="D483" s="14">
        <f>IF(C483="","",IF(C483=0,"",10000000/C483))</f>
        <v/>
      </c>
      <c r="E483" s="22">
        <f>IF(C483="","",C483/630)</f>
        <v/>
      </c>
      <c r="F483" s="23" t="n"/>
    </row>
    <row r="484" ht="15" customHeight="1">
      <c r="B484" s="27" t="n">
        <v>45773</v>
      </c>
      <c r="C484" s="21" t="n">
        <v>611</v>
      </c>
      <c r="D484" s="14">
        <f>IF(C484="","",IF(C484=0,"",10000000/C484))</f>
        <v/>
      </c>
      <c r="E484" s="22">
        <f>IF(C484="","",C484/630)</f>
        <v/>
      </c>
      <c r="F484" s="23" t="n"/>
    </row>
    <row r="485" ht="15" customHeight="1">
      <c r="B485" s="27" t="n">
        <v>45774</v>
      </c>
      <c r="C485" s="21" t="n">
        <v>618</v>
      </c>
      <c r="D485" s="14">
        <f>IF(C485="","",IF(C485=0,"",10000000/C485))</f>
        <v/>
      </c>
      <c r="E485" s="22">
        <f>IF(C485="","",C485/630)</f>
        <v/>
      </c>
      <c r="F485" s="23" t="n"/>
    </row>
    <row r="486" ht="15" customHeight="1">
      <c r="B486" s="27" t="n">
        <v>45775</v>
      </c>
      <c r="C486" s="21" t="n">
        <v>619</v>
      </c>
      <c r="D486" s="14">
        <f>IF(C486="","",IF(C486=0,"",10000000/C486))</f>
        <v/>
      </c>
      <c r="E486" s="22">
        <f>IF(C486="","",C486/630)</f>
        <v/>
      </c>
      <c r="F486" s="23" t="n"/>
    </row>
    <row r="487" ht="15" customHeight="1">
      <c r="B487" s="27" t="n">
        <v>45776</v>
      </c>
      <c r="C487" s="21" t="n">
        <v>620</v>
      </c>
      <c r="D487" s="14">
        <f>IF(C487="","",IF(C487=0,"",10000000/C487))</f>
        <v/>
      </c>
      <c r="E487" s="22">
        <f>IF(C487="","",C487/630)</f>
        <v/>
      </c>
      <c r="F487" s="23" t="n"/>
    </row>
    <row r="488" ht="15" customHeight="1">
      <c r="B488" s="27" t="n">
        <v>45777</v>
      </c>
      <c r="C488" s="21" t="n">
        <v>623</v>
      </c>
      <c r="D488" s="14">
        <f>IF(C488="","",IF(C488=0,"",10000000/C488))</f>
        <v/>
      </c>
      <c r="E488" s="22">
        <f>IF(C488="","",C488/630)</f>
        <v/>
      </c>
      <c r="F488" s="23" t="n"/>
    </row>
    <row r="489" ht="15" customHeight="1">
      <c r="B489" s="27" t="n">
        <v>45778</v>
      </c>
      <c r="C489" s="21" t="n">
        <v>629</v>
      </c>
      <c r="D489" s="14">
        <f>IF(C489="","",IF(C489=0,"",10000000/C489))</f>
        <v/>
      </c>
      <c r="E489" s="22">
        <f>IF(C489="","",C489/630)</f>
        <v/>
      </c>
      <c r="F489" s="23" t="n"/>
    </row>
    <row r="490" ht="15" customHeight="1">
      <c r="B490" s="27" t="n">
        <v>45779</v>
      </c>
      <c r="C490" s="21" t="n">
        <v>630</v>
      </c>
      <c r="D490" s="14">
        <f>IF(C490="","",IF(C490=0,"",10000000/C490))</f>
        <v/>
      </c>
      <c r="E490" s="22">
        <f>IF(C490="","",C490/630)</f>
        <v/>
      </c>
      <c r="F490" s="23" t="n"/>
    </row>
    <row r="491" ht="15" customHeight="1">
      <c r="B491" s="27" t="n">
        <v>45780</v>
      </c>
      <c r="C491" s="21" t="n">
        <v>630</v>
      </c>
      <c r="D491" s="14">
        <f>IF(C491="","",IF(C491=0,"",10000000/C491))</f>
        <v/>
      </c>
      <c r="E491" s="22">
        <f>IF(C491="","",C491/630)</f>
        <v/>
      </c>
      <c r="F491" s="23" t="n"/>
    </row>
    <row r="492" ht="15" customHeight="1">
      <c r="B492" s="27" t="n">
        <v>45781</v>
      </c>
      <c r="C492" s="21" t="n">
        <v>620</v>
      </c>
      <c r="D492" s="14">
        <f>IF(C492="","",IF(C492=0,"",10000000/C492))</f>
        <v/>
      </c>
      <c r="E492" s="22">
        <f>IF(C492="","",C492/630)</f>
        <v/>
      </c>
      <c r="F492" s="23" t="n"/>
    </row>
    <row r="493" ht="15" customHeight="1">
      <c r="B493" s="27" t="n">
        <v>45782</v>
      </c>
      <c r="C493" s="21" t="n">
        <v>628</v>
      </c>
      <c r="D493" s="14">
        <f>IF(C493="","",IF(C493=0,"",10000000/C493))</f>
        <v/>
      </c>
      <c r="E493" s="22">
        <f>IF(C493="","",C493/630)</f>
        <v/>
      </c>
      <c r="F493" s="23" t="n"/>
    </row>
    <row r="494" ht="15" customHeight="1">
      <c r="B494" s="27" t="n">
        <v>45783</v>
      </c>
      <c r="C494" s="21" t="n">
        <v>621</v>
      </c>
      <c r="D494" s="14">
        <f>IF(C494="","",IF(C494=0,"",10000000/C494))</f>
        <v/>
      </c>
      <c r="E494" s="22">
        <f>IF(C494="","",C494/630)</f>
        <v/>
      </c>
      <c r="F494" s="23" t="n"/>
    </row>
    <row r="495" ht="15" customHeight="1">
      <c r="B495" s="27" t="n">
        <v>45784</v>
      </c>
      <c r="C495" s="21" t="n">
        <v>620</v>
      </c>
      <c r="D495" s="14">
        <f>IF(C495="","",IF(C495=0,"",10000000/C495))</f>
        <v/>
      </c>
      <c r="E495" s="22">
        <f>IF(C495="","",C495/630)</f>
        <v/>
      </c>
      <c r="F495" s="23" t="n"/>
    </row>
    <row r="496" ht="15" customHeight="1">
      <c r="B496" s="27" t="n">
        <v>45785</v>
      </c>
      <c r="C496" s="21" t="n">
        <v>623</v>
      </c>
      <c r="D496" s="14">
        <f>IF(C496="","",IF(C496=0,"",10000000/C496))</f>
        <v/>
      </c>
      <c r="E496" s="22">
        <f>IF(C496="","",C496/630)</f>
        <v/>
      </c>
      <c r="F496" s="23" t="n"/>
    </row>
    <row r="497" ht="15" customHeight="1">
      <c r="B497" s="27" t="n">
        <v>45786</v>
      </c>
      <c r="C497" s="21" t="n">
        <v>620</v>
      </c>
      <c r="D497" s="14">
        <f>IF(C497="","",IF(C497=0,"",10000000/C497))</f>
        <v/>
      </c>
      <c r="E497" s="22">
        <f>IF(C497="","",C497/630)</f>
        <v/>
      </c>
      <c r="F497" s="23" t="n"/>
    </row>
    <row r="498" ht="15" customHeight="1">
      <c r="B498" s="27" t="n">
        <v>45787</v>
      </c>
      <c r="C498" s="21" t="n">
        <v>621</v>
      </c>
      <c r="D498" s="14">
        <f>IF(C498="","",IF(C498=0,"",10000000/C498))</f>
        <v/>
      </c>
      <c r="E498" s="22">
        <f>IF(C498="","",C498/630)</f>
        <v/>
      </c>
      <c r="F498" s="23" t="n"/>
    </row>
    <row r="499" ht="15" customHeight="1">
      <c r="B499" s="27" t="n">
        <v>45788</v>
      </c>
      <c r="C499" s="21" t="n">
        <v>622</v>
      </c>
      <c r="D499" s="14">
        <f>IF(C499="","",IF(C499=0,"",10000000/C499))</f>
        <v/>
      </c>
      <c r="E499" s="22">
        <f>IF(C499="","",C499/630)</f>
        <v/>
      </c>
      <c r="F499" s="23" t="n"/>
    </row>
    <row r="500" ht="15" customHeight="1">
      <c r="B500" s="27" t="n">
        <v>45789</v>
      </c>
      <c r="C500" s="21" t="n">
        <v>609</v>
      </c>
      <c r="D500" s="14">
        <f>IF(C500="","",IF(C500=0,"",10000000/C500))</f>
        <v/>
      </c>
      <c r="E500" s="22">
        <f>IF(C500="","",C500/630)</f>
        <v/>
      </c>
      <c r="F500" s="23" t="n"/>
    </row>
    <row r="501" ht="15" customHeight="1">
      <c r="B501" s="27" t="n">
        <v>45790</v>
      </c>
      <c r="C501" s="21" t="n">
        <v>613</v>
      </c>
      <c r="D501" s="14">
        <f>IF(C501="","",IF(C501=0,"",10000000/C501))</f>
        <v/>
      </c>
      <c r="E501" s="22">
        <f>IF(C501="","",C501/630)</f>
        <v/>
      </c>
      <c r="F501" s="23" t="n"/>
    </row>
    <row r="502" ht="15" customHeight="1">
      <c r="B502" s="27" t="n">
        <v>45791</v>
      </c>
      <c r="C502" s="21" t="n">
        <v>607</v>
      </c>
      <c r="D502" s="14">
        <f>IF(C502="","",IF(C502=0,"",10000000/C502))</f>
        <v/>
      </c>
      <c r="E502" s="22">
        <f>IF(C502="","",C502/630)</f>
        <v/>
      </c>
      <c r="F502" s="23" t="n"/>
    </row>
    <row r="503">
      <c r="B503" s="28" t="n">
        <v>45792</v>
      </c>
      <c r="C503" t="n">
        <v>595</v>
      </c>
      <c r="D503">
        <f>IF(C503="","",IF(C503=0,"",10000000/C503))</f>
        <v/>
      </c>
      <c r="E503">
        <f>IF(C503="","",C503/630)</f>
        <v/>
      </c>
    </row>
    <row r="504">
      <c r="B504" s="28" t="n">
        <v>45793</v>
      </c>
      <c r="C504" t="n">
        <v>589</v>
      </c>
      <c r="D504">
        <f>IF(C504="","",IF(C504=0,"",10000000/C504))</f>
        <v/>
      </c>
      <c r="E504">
        <f>IF(C504="","",C504/630)</f>
        <v/>
      </c>
    </row>
    <row r="505">
      <c r="B505" s="28" t="n">
        <v>45794</v>
      </c>
      <c r="C505" t="n">
        <v>589</v>
      </c>
      <c r="D505">
        <f>IF(C505="","",IF(C505=0,"",10000000/C505))</f>
        <v/>
      </c>
      <c r="E505">
        <f>IF(C505="","",C505/630)</f>
        <v/>
      </c>
    </row>
    <row r="506">
      <c r="B506" s="28" t="n">
        <v>45795</v>
      </c>
      <c r="C506" t="n">
        <v>584</v>
      </c>
      <c r="D506">
        <f>IF(C506="","",IF(C506=0,"",10000000/C506))</f>
        <v/>
      </c>
      <c r="E506">
        <f>IF(C506="","",C506/630)</f>
        <v/>
      </c>
    </row>
    <row r="507">
      <c r="B507" s="28" t="n">
        <v>45796</v>
      </c>
      <c r="C507" t="n">
        <v>577</v>
      </c>
      <c r="D507">
        <f>IF(C507="","",IF(C507=0,"",10000000/C507))</f>
        <v/>
      </c>
      <c r="E507">
        <f>IF(C507="","",C507/630)</f>
        <v/>
      </c>
    </row>
    <row r="508">
      <c r="B508" s="28" t="n">
        <v>45797</v>
      </c>
      <c r="C508" t="n">
        <v>580</v>
      </c>
      <c r="D508">
        <f>IF(C508="","",IF(C508=0,"",10000000/C508))</f>
        <v/>
      </c>
      <c r="E508">
        <f>IF(C508="","",C508/630)</f>
        <v/>
      </c>
    </row>
    <row r="509">
      <c r="B509" s="28" t="n">
        <v>45798</v>
      </c>
      <c r="C509" t="n">
        <v>570</v>
      </c>
      <c r="D509">
        <f>IF(C509="","",IF(C509=0,"",10000000/C509))</f>
        <v/>
      </c>
      <c r="E509">
        <f>IF(C509="","",C509/630)</f>
        <v/>
      </c>
    </row>
    <row r="510">
      <c r="B510" s="28" t="n">
        <v>45799</v>
      </c>
      <c r="C510" t="n">
        <v>562</v>
      </c>
      <c r="D510">
        <f>IF(C510="","",IF(C510=0,"",10000000/C510))</f>
        <v/>
      </c>
      <c r="E510">
        <f>IF(C510="","",C510/630)</f>
        <v/>
      </c>
    </row>
    <row r="511">
      <c r="B511" s="28" t="n">
        <v>45800</v>
      </c>
      <c r="C511" t="n">
        <v>554</v>
      </c>
      <c r="D511">
        <f>IF(C511="","",IF(C511=0,"",10000000/C511))</f>
        <v/>
      </c>
      <c r="E511">
        <f>IF(C511="","",C511/630)</f>
        <v/>
      </c>
    </row>
    <row r="512">
      <c r="B512" s="28" t="n">
        <v>45801</v>
      </c>
      <c r="C512" t="n">
        <v>554</v>
      </c>
      <c r="D512">
        <f>IF(C512="","",IF(C512=0,"",10000000/C512))</f>
        <v/>
      </c>
      <c r="E512">
        <f>IF(C512="","",C512/630)</f>
        <v/>
      </c>
    </row>
    <row r="513">
      <c r="B513" s="28" t="n">
        <v>45802</v>
      </c>
      <c r="C513" t="n">
        <v>551</v>
      </c>
      <c r="D513">
        <f>IF(C513="","",IF(C513=0,"",10000000/C513))</f>
        <v/>
      </c>
      <c r="E513">
        <f>IF(C513="","",C513/630)</f>
        <v/>
      </c>
    </row>
    <row r="514">
      <c r="B514" s="28" t="n">
        <v>45803</v>
      </c>
      <c r="C514" t="n">
        <v>550</v>
      </c>
      <c r="D514">
        <f>IF(C514="","",IF(C514=0,"",10000000/C514))</f>
        <v/>
      </c>
      <c r="E514">
        <f>IF(C514="","",C514/630)</f>
        <v/>
      </c>
    </row>
    <row r="515">
      <c r="B515" s="28" t="n">
        <v>45804</v>
      </c>
      <c r="C515" t="n">
        <v>552</v>
      </c>
      <c r="D515">
        <f>IF(C515="","",IF(C515=0,"",10000000/C515))</f>
        <v/>
      </c>
      <c r="E515">
        <f>IF(C515="","",C515/630)</f>
        <v/>
      </c>
    </row>
    <row r="516">
      <c r="B516" s="28" t="n">
        <v>45805</v>
      </c>
      <c r="C516" t="n">
        <v>548</v>
      </c>
      <c r="D516">
        <f>IF(C516="","",IF(C516=0,"",10000000/C516))</f>
        <v/>
      </c>
      <c r="E516">
        <f>IF(C516="","",C516/630)</f>
        <v/>
      </c>
    </row>
    <row r="517">
      <c r="B517" s="28" t="n">
        <v>45806</v>
      </c>
      <c r="C517" t="n">
        <v>543</v>
      </c>
      <c r="D517">
        <f>IF(C517="","",IF(C517=0,"",10000000/C517))</f>
        <v/>
      </c>
      <c r="E517">
        <f>IF(C517="","",C517/630)</f>
        <v/>
      </c>
    </row>
    <row r="518">
      <c r="B518" s="28" t="n">
        <v>45807</v>
      </c>
      <c r="C518" t="n">
        <v>543</v>
      </c>
      <c r="D518">
        <f>IF(C518="","",IF(C518=0,"",10000000/C518))</f>
        <v/>
      </c>
      <c r="E518">
        <f>IF(C518="","",C518/630)</f>
        <v/>
      </c>
    </row>
    <row r="519">
      <c r="B519" s="28" t="n">
        <v>45808</v>
      </c>
      <c r="C519" t="n">
        <v>548</v>
      </c>
      <c r="D519">
        <f>IF(C519="","",IF(C519=0,"",10000000/C519))</f>
        <v/>
      </c>
      <c r="E519">
        <f>IF(C519="","",C519/630)</f>
        <v/>
      </c>
    </row>
    <row r="520">
      <c r="B520" s="28" t="n">
        <v>45809</v>
      </c>
      <c r="C520" t="n">
        <v>552</v>
      </c>
      <c r="D520">
        <f>IF(C520="","",IF(C520=0,"",10000000/C520))</f>
        <v/>
      </c>
      <c r="E520">
        <f>IF(C520="","",C520/630)</f>
        <v/>
      </c>
    </row>
    <row r="521">
      <c r="B521" s="28" t="n">
        <v>45810</v>
      </c>
      <c r="C521" t="n">
        <v>547</v>
      </c>
      <c r="D521">
        <f>IF(C521="","",IF(C521=0,"",10000000/C521))</f>
        <v/>
      </c>
      <c r="E521">
        <f>IF(C521="","",C521/630)</f>
        <v/>
      </c>
    </row>
    <row r="522">
      <c r="B522" s="28" t="n">
        <v>45811</v>
      </c>
      <c r="C522" t="n">
        <v>543</v>
      </c>
      <c r="D522">
        <f>IF(C522="","",IF(C522=0,"",10000000/C522))</f>
        <v/>
      </c>
      <c r="E522">
        <f>IF(C522="","",C522/630)</f>
        <v/>
      </c>
    </row>
    <row r="523">
      <c r="B523" s="28" t="n">
        <v>45812</v>
      </c>
      <c r="C523" t="n">
        <v>541</v>
      </c>
      <c r="D523">
        <f>IF(C523="","",IF(C523=0,"",10000000/C523))</f>
        <v/>
      </c>
      <c r="E523">
        <f>IF(C523="","",C523/630)</f>
        <v/>
      </c>
    </row>
    <row r="524">
      <c r="B524" s="28" t="n">
        <v>45813</v>
      </c>
      <c r="C524" t="n">
        <v>539</v>
      </c>
      <c r="D524">
        <f>IF(C524="","",IF(C524=0,"",10000000/C524))</f>
        <v/>
      </c>
      <c r="E524">
        <f>IF(C524="","",C524/630)</f>
        <v/>
      </c>
    </row>
    <row r="525">
      <c r="B525" s="28" t="n">
        <v>45814</v>
      </c>
      <c r="C525" t="n">
        <v>537</v>
      </c>
      <c r="D525">
        <f>IF(C525="","",IF(C525=0,"",10000000/C525))</f>
        <v/>
      </c>
      <c r="E525">
        <f>IF(C525="","",C525/630)</f>
        <v/>
      </c>
    </row>
    <row r="526">
      <c r="B526" s="28" t="n">
        <v>45815</v>
      </c>
      <c r="C526" t="n">
        <v>537</v>
      </c>
      <c r="D526">
        <f>IF(C526="","",IF(C526=0,"",10000000/C526))</f>
        <v/>
      </c>
      <c r="E526">
        <f>IF(C526="","",C526/630)</f>
        <v/>
      </c>
    </row>
    <row r="527">
      <c r="B527" s="28" t="n">
        <v>45816</v>
      </c>
      <c r="C527" t="n">
        <v>530</v>
      </c>
      <c r="D527">
        <f>IF(C527="","",IF(C527=0,"",10000000/C527))</f>
        <v/>
      </c>
      <c r="E527">
        <f>IF(C527="","",C527/630)</f>
        <v/>
      </c>
    </row>
    <row r="528">
      <c r="B528" s="28" t="n">
        <v>45817</v>
      </c>
      <c r="C528" t="n">
        <v>529</v>
      </c>
      <c r="D528">
        <f>IF(C528="","",IF(C528=0,"",10000000/C528))</f>
        <v/>
      </c>
      <c r="E528">
        <f>IF(C528="","",C528/630)</f>
        <v/>
      </c>
    </row>
    <row r="529">
      <c r="B529" s="28" t="n">
        <v>45818</v>
      </c>
      <c r="C529" t="n">
        <v>530</v>
      </c>
      <c r="D529">
        <f>IF(C529="","",IF(C529=0,"",10000000/C529))</f>
        <v/>
      </c>
      <c r="E529">
        <f>IF(C529="","",C529/630)</f>
        <v/>
      </c>
    </row>
    <row r="530">
      <c r="B530" s="28" t="n">
        <v>45819</v>
      </c>
      <c r="C530" t="n">
        <v>527</v>
      </c>
      <c r="D530">
        <f>IF(C530="","",IF(C530=0,"",10000000/C530))</f>
        <v/>
      </c>
      <c r="E530">
        <f>IF(C530="","",C530/630)</f>
        <v/>
      </c>
    </row>
    <row r="531">
      <c r="B531" s="28" t="n">
        <v>45820</v>
      </c>
      <c r="C531" t="n">
        <v>530</v>
      </c>
      <c r="D531">
        <f>IF(C531="","",IF(C531=0,"",10000000/C531))</f>
        <v/>
      </c>
      <c r="E531">
        <f>IF(C531="","",C531/630)</f>
        <v/>
      </c>
    </row>
    <row r="532">
      <c r="B532" s="28" t="n">
        <v>45821</v>
      </c>
      <c r="C532" t="n">
        <v>524</v>
      </c>
      <c r="D532">
        <f>IF(C532="","",IF(C532=0,"",10000000/C532))</f>
        <v/>
      </c>
      <c r="E532">
        <f>IF(C532="","",C532/630)</f>
        <v/>
      </c>
    </row>
    <row r="533">
      <c r="B533" s="28" t="n">
        <v>45822</v>
      </c>
      <c r="C533" t="n">
        <v>524</v>
      </c>
      <c r="D533">
        <f>IF(C533="","",IF(C533=0,"",10000000/C533))</f>
        <v/>
      </c>
      <c r="E533">
        <f>IF(C533="","",C533/630)</f>
        <v/>
      </c>
    </row>
    <row r="534">
      <c r="B534" s="28" t="n">
        <v>45823</v>
      </c>
      <c r="C534" t="n">
        <v>526</v>
      </c>
      <c r="D534">
        <f>IF(C534="","",IF(C534=0,"",10000000/C534))</f>
        <v/>
      </c>
      <c r="E534">
        <f>IF(C534="","",C534/630)</f>
        <v/>
      </c>
    </row>
    <row r="535">
      <c r="B535" s="28" t="n">
        <v>45824</v>
      </c>
      <c r="C535" t="n">
        <v>517</v>
      </c>
      <c r="D535">
        <f>IF(C535="","",IF(C535=0,"",10000000/C535))</f>
        <v/>
      </c>
      <c r="E535">
        <f>IF(C535="","",C535/630)</f>
        <v/>
      </c>
    </row>
    <row r="536">
      <c r="B536" s="28" t="n">
        <v>45825</v>
      </c>
      <c r="C536" t="n">
        <v>506</v>
      </c>
      <c r="D536">
        <f>IF(C536="","",IF(C536=0,"",10000000/C536))</f>
        <v/>
      </c>
      <c r="E536">
        <f>IF(C536="","",C536/630)</f>
        <v/>
      </c>
    </row>
    <row r="537">
      <c r="B537" s="28" t="n">
        <v>45826</v>
      </c>
      <c r="C537" t="n">
        <v>496</v>
      </c>
      <c r="D537">
        <f>IF(C537="","",IF(C537=0,"",10000000/C537))</f>
        <v/>
      </c>
      <c r="E537">
        <f>IF(C537="","",C537/630)</f>
        <v/>
      </c>
    </row>
    <row r="538">
      <c r="B538" s="28" t="n">
        <v>45827</v>
      </c>
      <c r="C538" t="n">
        <v>496</v>
      </c>
      <c r="D538">
        <f>IF(C538="","",IF(C538=0,"",10000000/C538))</f>
        <v/>
      </c>
      <c r="E538">
        <f>IF(C538="","",C538/630)</f>
        <v/>
      </c>
    </row>
    <row r="539">
      <c r="B539" s="28" t="n">
        <v>45828</v>
      </c>
      <c r="C539" t="n">
        <v>495</v>
      </c>
      <c r="D539">
        <f>IF(C539="","",IF(C539=0,"",10000000/C539))</f>
        <v/>
      </c>
      <c r="E539">
        <f>IF(C539="","",C539/630)</f>
        <v/>
      </c>
    </row>
    <row r="540">
      <c r="B540" s="28" t="n">
        <v>45829</v>
      </c>
      <c r="C540" t="n">
        <v>495</v>
      </c>
      <c r="D540">
        <f>IF(C540="","",IF(C540=0,"",10000000/C540))</f>
        <v/>
      </c>
      <c r="E540">
        <f>IF(C540="","",C540/630)</f>
        <v/>
      </c>
    </row>
    <row r="541">
      <c r="B541" s="28" t="n">
        <v>45830</v>
      </c>
      <c r="C541" t="n">
        <v>500</v>
      </c>
      <c r="D541">
        <f>IF(C541="","",IF(C541=0,"",10000000/C541))</f>
        <v/>
      </c>
      <c r="E541">
        <f>IF(C541="","",C541/630)</f>
        <v/>
      </c>
    </row>
    <row r="542">
      <c r="B542" s="28" t="n">
        <v>45831</v>
      </c>
      <c r="C542" t="n">
        <v>499</v>
      </c>
      <c r="D542">
        <f>IF(C542="","",IF(C542=0,"",10000000/C542))</f>
        <v/>
      </c>
      <c r="E542">
        <f>IF(C542="","",C542/630)</f>
        <v/>
      </c>
    </row>
    <row r="543">
      <c r="B543" s="28" t="n">
        <v>45832</v>
      </c>
      <c r="C543" t="n">
        <v>496</v>
      </c>
      <c r="D543">
        <f>IF(C543="","",IF(C543=0,"",10000000/C543))</f>
        <v/>
      </c>
      <c r="E543">
        <f>IF(C543="","",C543/630)</f>
        <v/>
      </c>
    </row>
    <row r="544">
      <c r="B544" s="28" t="n">
        <v>45833</v>
      </c>
      <c r="C544" t="n">
        <v>492</v>
      </c>
      <c r="D544">
        <f>IF(C544="","",IF(C544=0,"",10000000/C544))</f>
        <v/>
      </c>
      <c r="E544">
        <f>IF(C544="","",C544/630)</f>
        <v/>
      </c>
    </row>
    <row r="545">
      <c r="B545" s="28" t="n">
        <v>45834</v>
      </c>
      <c r="C545" t="n">
        <v>492</v>
      </c>
      <c r="D545">
        <f>IF(C545="","",IF(C545=0,"",10000000/C545))</f>
        <v/>
      </c>
      <c r="E545">
        <f>IF(C545="","",C545/630)</f>
        <v/>
      </c>
    </row>
    <row r="546">
      <c r="B546" s="28" t="n">
        <v>45835</v>
      </c>
      <c r="C546" t="n">
        <v>495</v>
      </c>
      <c r="D546">
        <f>IF(C546="","",IF(C546=0,"",10000000/C546))</f>
        <v/>
      </c>
      <c r="E546">
        <f>IF(C546="","",C546/630)</f>
        <v/>
      </c>
    </row>
    <row r="547">
      <c r="B547" s="28" t="n">
        <v>45836</v>
      </c>
      <c r="C547" t="n">
        <v>495</v>
      </c>
      <c r="D547">
        <f>IF(C547="","",IF(C547=0,"",10000000/C547))</f>
        <v/>
      </c>
      <c r="E547">
        <f>IF(C547="","",C547/630)</f>
        <v/>
      </c>
    </row>
    <row r="548">
      <c r="B548" s="28" t="n">
        <v>45837</v>
      </c>
      <c r="C548" t="n">
        <v>499</v>
      </c>
      <c r="D548">
        <f>IF(C548="","",IF(C548=0,"",10000000/C548))</f>
        <v/>
      </c>
      <c r="E548">
        <f>IF(C548="","",C548/630)</f>
        <v/>
      </c>
    </row>
    <row r="549">
      <c r="B549" s="28" t="n">
        <v>45838</v>
      </c>
      <c r="C549" t="n">
        <v>500</v>
      </c>
      <c r="D549">
        <f>IF(C549="","",IF(C549=0,"",10000000/C549))</f>
        <v/>
      </c>
      <c r="E549">
        <f>IF(C549="","",C549/630)</f>
        <v/>
      </c>
    </row>
    <row r="550">
      <c r="B550" s="28" t="n">
        <v>45839</v>
      </c>
      <c r="C550" t="n">
        <v>504</v>
      </c>
      <c r="D550">
        <f>IF(C550="","",IF(C550=0,"",10000000/C550))</f>
        <v/>
      </c>
      <c r="E550">
        <f>IF(C550="","",C550/630)</f>
        <v/>
      </c>
    </row>
    <row r="551">
      <c r="B551" s="28" t="n">
        <v>45840</v>
      </c>
      <c r="C551" t="n">
        <v>505</v>
      </c>
      <c r="D551">
        <f>IF(C551="","",IF(C551=0,"",10000000/C551))</f>
        <v/>
      </c>
      <c r="E551">
        <f>IF(C551="","",C551/630)</f>
        <v/>
      </c>
    </row>
    <row r="552">
      <c r="B552" s="28" t="n">
        <v>45841</v>
      </c>
      <c r="C552" t="n">
        <v>532</v>
      </c>
      <c r="D552">
        <f>IF(C552="","",IF(C552=0,"",10000000/C552))</f>
        <v/>
      </c>
      <c r="E552">
        <f>IF(C552="","",C552/630)</f>
        <v/>
      </c>
    </row>
    <row r="553">
      <c r="B553" s="28" t="n">
        <v>45842</v>
      </c>
      <c r="C553" t="n">
        <v>531</v>
      </c>
      <c r="D553">
        <f>IF(C553="","",IF(C553=0,"",10000000/C553))</f>
        <v/>
      </c>
      <c r="E553">
        <f>IF(C553="","",C553/630)</f>
        <v/>
      </c>
    </row>
    <row r="554">
      <c r="B554" s="28" t="n">
        <v>45843</v>
      </c>
      <c r="C554" t="n">
        <v>531</v>
      </c>
      <c r="D554">
        <f>IF(C554="","",IF(C554=0,"",10000000/C554))</f>
        <v/>
      </c>
      <c r="E554">
        <f>IF(C554="","",C554/630)</f>
        <v/>
      </c>
    </row>
    <row r="555">
      <c r="B555" s="28" t="n">
        <v>45844</v>
      </c>
      <c r="C555" t="n">
        <v>534</v>
      </c>
      <c r="D555">
        <f>IF(C555="","",IF(C555=0,"",10000000/C555))</f>
        <v/>
      </c>
      <c r="E555">
        <f>IF(C555="","",C555/630)</f>
        <v/>
      </c>
    </row>
    <row r="556">
      <c r="B556" s="28" t="n">
        <v>45845</v>
      </c>
      <c r="C556" t="n">
        <v>536</v>
      </c>
      <c r="D556">
        <f>IF(C556="","",IF(C556=0,"",10000000/C556))</f>
        <v/>
      </c>
      <c r="E556">
        <f>IF(C556="","",C556/630)</f>
        <v/>
      </c>
    </row>
    <row r="557">
      <c r="B557" s="28" t="n">
        <v>45846</v>
      </c>
      <c r="C557" t="n">
        <v>538</v>
      </c>
      <c r="D557">
        <f>IF(C557="","",IF(C557=0,"",10000000/C557))</f>
        <v/>
      </c>
      <c r="E557">
        <f>IF(C557="","",C557/630)</f>
        <v/>
      </c>
    </row>
    <row r="558">
      <c r="B558" s="28" t="n">
        <v>45847</v>
      </c>
      <c r="C558" t="n">
        <v>534</v>
      </c>
      <c r="D558">
        <f>IF(C558="","",IF(C558=0,"",10000000/C558))</f>
        <v/>
      </c>
      <c r="E558">
        <f>IF(C558="","",C558/630)</f>
        <v/>
      </c>
    </row>
    <row r="559">
      <c r="B559" s="28" t="n">
        <v>45848</v>
      </c>
      <c r="C559" t="n">
        <v>533</v>
      </c>
      <c r="D559">
        <f>IF(C559="","",IF(C559=0,"",10000000/C559))</f>
        <v/>
      </c>
      <c r="E559">
        <f>IF(C559="","",C559/630)</f>
        <v/>
      </c>
    </row>
    <row r="560">
      <c r="B560" s="28" t="n">
        <v>45849</v>
      </c>
      <c r="C560" t="n">
        <v>529</v>
      </c>
      <c r="D560">
        <f>IF(C560="","",IF(C560=0,"",10000000/C560))</f>
        <v/>
      </c>
      <c r="E560">
        <f>IF(C560="","",C560/630)</f>
        <v/>
      </c>
    </row>
    <row r="561">
      <c r="B561" s="28" t="n">
        <v>45850</v>
      </c>
      <c r="C561" t="n">
        <v>527</v>
      </c>
      <c r="D561">
        <f>IF(C561="","",IF(C561=0,"",10000000/C561))</f>
        <v/>
      </c>
      <c r="E561">
        <f>IF(C561="","",C561/630)</f>
        <v/>
      </c>
    </row>
    <row r="562">
      <c r="B562" s="28" t="n">
        <v>45851</v>
      </c>
      <c r="C562" t="n">
        <v>522</v>
      </c>
      <c r="D562">
        <f>IF(C562="","",IF(C562=0,"",10000000/C562))</f>
        <v/>
      </c>
      <c r="E562">
        <f>IF(C562="","",C562/630)</f>
        <v/>
      </c>
    </row>
    <row r="563">
      <c r="B563" s="28" t="n">
        <v>45852</v>
      </c>
      <c r="C563" t="n">
        <v>519</v>
      </c>
      <c r="D563">
        <f>IF(C563="","",IF(C563=0,"",10000000/C563))</f>
        <v/>
      </c>
      <c r="E563">
        <f>IF(C563="","",C563/630)</f>
        <v/>
      </c>
    </row>
    <row r="564">
      <c r="B564" s="28" t="n">
        <v>45853</v>
      </c>
      <c r="C564" t="n">
        <v>515</v>
      </c>
      <c r="D564">
        <f>IF(C564="","",IF(C564=0,"",10000000/C564))</f>
        <v/>
      </c>
      <c r="E564">
        <f>IF(C564="","",C564/630)</f>
        <v/>
      </c>
    </row>
    <row r="565">
      <c r="B565" s="28" t="n">
        <v>45854</v>
      </c>
      <c r="C565" t="n">
        <v>518</v>
      </c>
      <c r="D565">
        <f>IF(C565="","",IF(C565=0,"",10000000/C565))</f>
        <v/>
      </c>
      <c r="E565">
        <f>IF(C565="","",C565/630)</f>
        <v/>
      </c>
    </row>
    <row r="566">
      <c r="B566" s="28" t="n">
        <v>45855</v>
      </c>
      <c r="C566" t="n">
        <v>510</v>
      </c>
      <c r="D566">
        <f>IF(C566="","",IF(C566=0,"",10000000/C566))</f>
        <v/>
      </c>
      <c r="E566">
        <f>IF(C566="","",C566/630)</f>
        <v/>
      </c>
    </row>
    <row r="567">
      <c r="B567" s="28" t="n">
        <v>45856</v>
      </c>
      <c r="C567" t="n">
        <v>510</v>
      </c>
      <c r="D567">
        <f>IF(C567="","",IF(C567=0,"",10000000/C567))</f>
        <v/>
      </c>
      <c r="E567">
        <f>IF(C567="","",C567/630)</f>
        <v/>
      </c>
    </row>
    <row r="568">
      <c r="B568" s="28" t="n">
        <v>45857</v>
      </c>
      <c r="C568" t="n">
        <v>510</v>
      </c>
      <c r="D568">
        <f>IF(C568="","",IF(C568=0,"",10000000/C568))</f>
        <v/>
      </c>
      <c r="E568">
        <f>IF(C568="","",C568/630)</f>
        <v/>
      </c>
    </row>
    <row r="569">
      <c r="B569" s="28" t="n">
        <v>45858</v>
      </c>
      <c r="C569" t="n">
        <v>516</v>
      </c>
      <c r="D569">
        <f>IF(C569="","",IF(C569=0,"",10000000/C569))</f>
        <v/>
      </c>
      <c r="E569">
        <f>IF(C569="","",C569/630)</f>
        <v/>
      </c>
    </row>
    <row r="570">
      <c r="B570" s="28" t="n">
        <v>45859</v>
      </c>
      <c r="C570" t="n">
        <v>513</v>
      </c>
      <c r="D570">
        <f>IF(C570="","",IF(C570=0,"",10000000/C570))</f>
        <v/>
      </c>
      <c r="E570">
        <f>IF(C570="","",C570/630)</f>
        <v/>
      </c>
    </row>
    <row r="571">
      <c r="B571" s="28" t="n">
        <v>45860</v>
      </c>
      <c r="C571" t="n">
        <v>515</v>
      </c>
      <c r="D571">
        <f>IF(C571="","",IF(C571=0,"",10000000/C571))</f>
        <v/>
      </c>
      <c r="E571">
        <f>IF(C571="","",C571/630)</f>
        <v/>
      </c>
    </row>
    <row r="572">
      <c r="B572" s="28" t="n">
        <v>45861</v>
      </c>
      <c r="C572" t="n">
        <v>513</v>
      </c>
      <c r="D572">
        <f>IF(C572="","",IF(C572=0,"",10000000/C572))</f>
        <v/>
      </c>
      <c r="E572">
        <f>IF(C572="","",C572/630)</f>
        <v/>
      </c>
    </row>
    <row r="573">
      <c r="B573" s="28" t="n">
        <v>45862</v>
      </c>
      <c r="C573" t="n">
        <v>515</v>
      </c>
      <c r="D573">
        <f>IF(C573="","",IF(C573=0,"",10000000/C573))</f>
        <v/>
      </c>
      <c r="E573">
        <f>IF(C573="","",C573/630)</f>
        <v/>
      </c>
    </row>
    <row r="574">
      <c r="B574" s="28" t="n">
        <v>45863</v>
      </c>
      <c r="C574" t="n">
        <v>514</v>
      </c>
      <c r="D574">
        <f>IF(C574="","",IF(C574=0,"",10000000/C574))</f>
        <v/>
      </c>
      <c r="E574">
        <f>IF(C574="","",C574/630)</f>
        <v/>
      </c>
    </row>
    <row r="575">
      <c r="B575" s="28" t="n">
        <v>45864</v>
      </c>
      <c r="C575" t="n">
        <v>514</v>
      </c>
      <c r="D575">
        <f>IF(C575="","",IF(C575=0,"",10000000/C575))</f>
        <v/>
      </c>
      <c r="E575">
        <f>IF(C575="","",C575/630)</f>
        <v/>
      </c>
    </row>
    <row r="576">
      <c r="B576" s="28" t="n">
        <v>45865</v>
      </c>
      <c r="C576" t="n">
        <v>512</v>
      </c>
      <c r="D576">
        <f>IF(C576="","",IF(C576=0,"",10000000/C576))</f>
        <v/>
      </c>
      <c r="E576">
        <f>IF(C576="","",C576/630)</f>
        <v/>
      </c>
    </row>
    <row r="577">
      <c r="B577" s="28" t="n">
        <v>45866</v>
      </c>
      <c r="C577" t="n">
        <v>510</v>
      </c>
      <c r="D577">
        <f>IF(C577="","",IF(C577=0,"",10000000/C577))</f>
        <v/>
      </c>
      <c r="E577">
        <f>IF(C577="","",C577/630)</f>
        <v/>
      </c>
    </row>
    <row r="578">
      <c r="B578" s="28" t="n">
        <v>45867</v>
      </c>
      <c r="C578" t="n">
        <v>509</v>
      </c>
      <c r="D578">
        <f>IF(C578="","",IF(C578=0,"",10000000/C578))</f>
        <v/>
      </c>
      <c r="E578">
        <f>IF(C578="","",C578/630)</f>
        <v/>
      </c>
    </row>
    <row r="579">
      <c r="B579" s="28" t="n">
        <v>45868</v>
      </c>
      <c r="C579" t="n">
        <v>507</v>
      </c>
      <c r="D579">
        <f>IF(C579="","",IF(C579=0,"",10000000/C579))</f>
        <v/>
      </c>
      <c r="E579">
        <f>IF(C579="","",C579/630)</f>
        <v/>
      </c>
    </row>
    <row r="580">
      <c r="B580" s="28" t="n">
        <v>45869</v>
      </c>
      <c r="C580" t="n">
        <v>520</v>
      </c>
      <c r="D580">
        <f>IF(C580="","",IF(C580=0,"",10000000/C580))</f>
        <v/>
      </c>
      <c r="E580">
        <f>IF(C580="","",C580/630)</f>
        <v/>
      </c>
    </row>
    <row r="581">
      <c r="B581" s="28" t="n">
        <v>45870</v>
      </c>
      <c r="C581" t="n">
        <v>529</v>
      </c>
      <c r="D581">
        <f>IF(C581="","",IF(C581=0,"",10000000/C581))</f>
        <v/>
      </c>
      <c r="E581">
        <f>IF(C581="","",C581/630)</f>
        <v/>
      </c>
    </row>
    <row r="582">
      <c r="B582" s="28" t="n">
        <v>45871</v>
      </c>
      <c r="C582" t="n">
        <v>529</v>
      </c>
      <c r="D582">
        <f>IF(C582="","",IF(C582=0,"",10000000/C582))</f>
        <v/>
      </c>
      <c r="E582">
        <f>IF(C582="","",C582/630)</f>
        <v/>
      </c>
    </row>
    <row r="583">
      <c r="B583" s="28" t="n">
        <v>45872</v>
      </c>
      <c r="C583" t="n">
        <v>527</v>
      </c>
      <c r="D583">
        <f>IF(C583="","",IF(C583=0,"",10000000/C583))</f>
        <v/>
      </c>
      <c r="E583">
        <f>IF(C583="","",C583/630)</f>
        <v/>
      </c>
    </row>
    <row r="584">
      <c r="B584" s="28" t="n">
        <v>45873</v>
      </c>
      <c r="C584" t="n">
        <v>536</v>
      </c>
      <c r="D584">
        <f>IF(C584="","",IF(C584=0,"",10000000/C584))</f>
        <v/>
      </c>
      <c r="E584">
        <f>IF(C584="","",C584/630)</f>
        <v/>
      </c>
    </row>
    <row r="585">
      <c r="B585" s="28" t="n">
        <v>45874</v>
      </c>
      <c r="C585" t="n">
        <v>544</v>
      </c>
      <c r="D585">
        <f>IF(C585="","",IF(C585=0,"",10000000/C585))</f>
        <v/>
      </c>
      <c r="E585">
        <f>IF(C585="","",C585/630)</f>
        <v/>
      </c>
    </row>
    <row r="586">
      <c r="B586" s="28" t="n">
        <v>45875</v>
      </c>
      <c r="C586" t="n">
        <v>553</v>
      </c>
      <c r="D586">
        <f>IF(C586="","",IF(C586=0,"",10000000/C586))</f>
        <v/>
      </c>
      <c r="E586">
        <f>IF(C586="","",C586/630)</f>
        <v/>
      </c>
    </row>
    <row r="587">
      <c r="B587" s="28" t="n">
        <v>45876</v>
      </c>
      <c r="C587" t="n">
        <v>562</v>
      </c>
      <c r="D587">
        <f>IF(C587="","",IF(C587=0,"",10000000/C587))</f>
        <v/>
      </c>
      <c r="E587">
        <f>IF(C587="","",C587/630)</f>
        <v/>
      </c>
    </row>
    <row r="588">
      <c r="B588" s="28" t="n">
        <v>45877</v>
      </c>
      <c r="C588" t="n">
        <v>565</v>
      </c>
      <c r="D588">
        <f>IF(C588="","",IF(C588=0,"",10000000/C588))</f>
        <v/>
      </c>
      <c r="E588">
        <f>IF(C588="","",C588/630)</f>
        <v/>
      </c>
    </row>
    <row r="589">
      <c r="B589" s="28" t="n">
        <v>45878</v>
      </c>
      <c r="C589" t="n">
        <v>565</v>
      </c>
      <c r="D589">
        <f>IF(C589="","",IF(C589=0,"",10000000/C589))</f>
        <v/>
      </c>
      <c r="E589">
        <f>IF(C589="","",C589/630)</f>
        <v/>
      </c>
    </row>
    <row r="590">
      <c r="B590" s="28" t="n">
        <v>45879</v>
      </c>
      <c r="C590" t="n">
        <v>569</v>
      </c>
      <c r="D590">
        <f>IF(C590="","",IF(C590=0,"",10000000/C590))</f>
        <v/>
      </c>
      <c r="E590">
        <f>IF(C590="","",C590/630)</f>
        <v/>
      </c>
    </row>
    <row r="591">
      <c r="B591" s="28" t="n">
        <v>45880</v>
      </c>
      <c r="C591" t="n">
        <v>574</v>
      </c>
      <c r="D591">
        <f>IF(C591="","",IF(C591=0,"",10000000/C591))</f>
        <v/>
      </c>
      <c r="E591">
        <f>IF(C591="","",C591/630)</f>
        <v/>
      </c>
    </row>
    <row r="592">
      <c r="B592" s="28" t="n">
        <v>45881</v>
      </c>
      <c r="C592" t="n">
        <v>580</v>
      </c>
      <c r="D592">
        <f>IF(C592="","",IF(C592=0,"",10000000/C592))</f>
        <v/>
      </c>
      <c r="E592">
        <f>IF(C592="","",C592/630)</f>
        <v/>
      </c>
    </row>
    <row r="593">
      <c r="B593" s="28" t="n">
        <v>45882</v>
      </c>
      <c r="C593" t="n">
        <v>578</v>
      </c>
      <c r="D593">
        <f>IF(C593="","",IF(C593=0,"",10000000/C593))</f>
        <v/>
      </c>
      <c r="E593">
        <f>IF(C593="","",C593/630)</f>
        <v/>
      </c>
    </row>
    <row r="594">
      <c r="B594" s="28" t="n">
        <v>45883</v>
      </c>
      <c r="C594" t="n">
        <v>577</v>
      </c>
      <c r="D594">
        <f>IF(C594="","",IF(C594=0,"",10000000/C594))</f>
        <v/>
      </c>
      <c r="E594">
        <f>IF(C594="","",C594/630)</f>
        <v/>
      </c>
    </row>
    <row r="595">
      <c r="B595" s="28" t="n">
        <v>45884</v>
      </c>
      <c r="C595" t="n">
        <v>574</v>
      </c>
      <c r="D595">
        <f>IF(C595="","",IF(C595=0,"",10000000/C595))</f>
        <v/>
      </c>
      <c r="E595">
        <f>IF(C595="","",C595/630)</f>
        <v/>
      </c>
    </row>
    <row r="596">
      <c r="B596" s="28" t="n">
        <v>45885</v>
      </c>
      <c r="C596" t="n">
        <v>574</v>
      </c>
      <c r="D596">
        <f>IF(C596="","",IF(C596=0,"",10000000/C596))</f>
        <v/>
      </c>
      <c r="E596">
        <f>IF(C596="","",C596/630)</f>
        <v/>
      </c>
    </row>
    <row r="597">
      <c r="B597" s="28" t="n">
        <v>45886</v>
      </c>
      <c r="C597" t="n">
        <v>577</v>
      </c>
      <c r="D597">
        <f>IF(C597="","",IF(C597=0,"",10000000/C597))</f>
        <v/>
      </c>
      <c r="E597">
        <f>IF(C597="","",C597/630)</f>
        <v/>
      </c>
    </row>
    <row r="598">
      <c r="B598" s="28" t="n">
        <v>45887</v>
      </c>
      <c r="C598" t="n">
        <v>573</v>
      </c>
      <c r="D598">
        <f>IF(C598="","",IF(C598=0,"",10000000/C598))</f>
        <v/>
      </c>
      <c r="E598">
        <f>IF(C598="","",C598/630)</f>
        <v/>
      </c>
    </row>
    <row r="599">
      <c r="B599" s="28" t="n">
        <v>45888</v>
      </c>
      <c r="C599" t="n">
        <v>568</v>
      </c>
      <c r="D599">
        <f>IF(C599="","",IF(C599=0,"",10000000/C599))</f>
        <v/>
      </c>
      <c r="E599">
        <f>IF(C599="","",C599/630)</f>
        <v/>
      </c>
    </row>
    <row r="600">
      <c r="B600" s="28" t="n">
        <v>45889</v>
      </c>
      <c r="C600" t="n">
        <v>565</v>
      </c>
      <c r="D600">
        <f>IF(C600="","",IF(C600=0,"",10000000/C600))</f>
        <v/>
      </c>
      <c r="E600">
        <f>IF(C600="","",C600/630)</f>
        <v/>
      </c>
    </row>
    <row r="601">
      <c r="B601" s="28" t="n">
        <v>45890</v>
      </c>
      <c r="C601" t="n">
        <v>562</v>
      </c>
      <c r="D601">
        <f>IF(C601="","",IF(C601=0,"",10000000/C601))</f>
        <v/>
      </c>
      <c r="E601">
        <f>IF(C601="","",C601/630)</f>
        <v/>
      </c>
    </row>
    <row r="602">
      <c r="B602" s="28" t="n">
        <v>45891</v>
      </c>
      <c r="C602" t="n">
        <v>551</v>
      </c>
      <c r="D602">
        <f>IF(C602="","",IF(C602=0,"",10000000/C602))</f>
        <v/>
      </c>
      <c r="E602">
        <f>IF(C602="","",C602/630)</f>
        <v/>
      </c>
    </row>
    <row r="603">
      <c r="B603" s="28" t="n">
        <v>45892</v>
      </c>
      <c r="C603" t="n">
        <v>551</v>
      </c>
      <c r="D603">
        <f>IF(C603="","",IF(C603=0,"",10000000/C603))</f>
        <v/>
      </c>
      <c r="E603">
        <f>IF(C603="","",C603/630)</f>
        <v/>
      </c>
    </row>
    <row r="604">
      <c r="B604" s="28" t="n">
        <v>45893</v>
      </c>
      <c r="C604" t="n">
        <v>551</v>
      </c>
      <c r="D604">
        <f>IF(C604="","",IF(C604=0,"",10000000/C604))</f>
        <v/>
      </c>
      <c r="E604">
        <f>IF(C604="","",C604/630)</f>
        <v/>
      </c>
    </row>
    <row r="605">
      <c r="B605" s="28" t="n">
        <v>45894</v>
      </c>
      <c r="C605" t="n">
        <v>549</v>
      </c>
      <c r="D605">
        <f>IF(C605="","",IF(C605=0,"",10000000/C605))</f>
        <v/>
      </c>
      <c r="E605">
        <f>IF(C605="","",C605/630)</f>
        <v/>
      </c>
    </row>
    <row r="606">
      <c r="B606" s="28" t="n">
        <v>45895</v>
      </c>
      <c r="C606" t="n">
        <v>547</v>
      </c>
      <c r="D606">
        <f>IF(C606="","",IF(C606=0,"",10000000/C606))</f>
        <v/>
      </c>
      <c r="E606">
        <f>IF(C606="","",C606/630)</f>
        <v/>
      </c>
    </row>
    <row r="607">
      <c r="B607" s="28" t="n">
        <v>45896</v>
      </c>
      <c r="C607" t="n">
        <v>546</v>
      </c>
      <c r="D607">
        <f>IF(C607="","",IF(C607=0,"",10000000/C607))</f>
        <v/>
      </c>
      <c r="E607">
        <f>IF(C607="","",C607/630)</f>
        <v/>
      </c>
    </row>
    <row r="608">
      <c r="B608" s="28" t="n">
        <v>45897</v>
      </c>
      <c r="C608" t="n">
        <v>545</v>
      </c>
      <c r="D608">
        <f>IF(C608="","",IF(C608=0,"",10000000/C608))</f>
        <v/>
      </c>
      <c r="E608">
        <f>IF(C608="","",C608/630)</f>
        <v/>
      </c>
    </row>
    <row r="609">
      <c r="B609" s="28" t="n">
        <v>45898</v>
      </c>
      <c r="C609" t="n">
        <v>551</v>
      </c>
      <c r="D609">
        <f>IF(C609="","",IF(C609=0,"",10000000/C609))</f>
        <v/>
      </c>
      <c r="E609">
        <f>IF(C609="","",C609/630)</f>
        <v/>
      </c>
    </row>
    <row r="610">
      <c r="B610" s="28" t="n">
        <v>45899</v>
      </c>
      <c r="C610" t="n">
        <v>551</v>
      </c>
      <c r="D610">
        <f>IF(C610="","",IF(C610=0,"",10000000/C610))</f>
        <v/>
      </c>
      <c r="E610">
        <f>IF(C610="","",C610/630)</f>
        <v/>
      </c>
    </row>
    <row r="611">
      <c r="B611" s="28" t="n">
        <v>45900</v>
      </c>
      <c r="C611" t="n">
        <v>543</v>
      </c>
      <c r="D611">
        <f>IF(C611="","",IF(C611=0,"",10000000/C611))</f>
        <v/>
      </c>
      <c r="E611">
        <f>IF(C611="","",C611/630)</f>
        <v/>
      </c>
    </row>
    <row r="612">
      <c r="B612" s="28" t="n">
        <v>45901</v>
      </c>
      <c r="C612" t="n">
        <v>548</v>
      </c>
      <c r="D612">
        <f>IF(C612="","",IF(C612=0,"",10000000/C612))</f>
        <v/>
      </c>
      <c r="E612">
        <f>IF(C612="","",C612/630)</f>
        <v/>
      </c>
    </row>
    <row r="613">
      <c r="B613" s="28" t="n">
        <v>45902</v>
      </c>
      <c r="C613" t="n">
        <v>552</v>
      </c>
      <c r="D613">
        <f>IF(C613="","",IF(C613=0,"",10000000/C613))</f>
        <v/>
      </c>
      <c r="E613">
        <f>IF(C613="","",C613/630)</f>
        <v/>
      </c>
    </row>
    <row r="614">
      <c r="B614" s="28" t="n">
        <v>45903</v>
      </c>
      <c r="C614" t="n">
        <v>545</v>
      </c>
      <c r="D614">
        <f>IF(C614="","",IF(C614=0,"",10000000/C614))</f>
        <v/>
      </c>
      <c r="E614">
        <f>IF(C614="","",C614/630)</f>
        <v/>
      </c>
    </row>
    <row r="615">
      <c r="B615" s="28" t="n">
        <v>45904</v>
      </c>
      <c r="C615" t="n">
        <v>550</v>
      </c>
      <c r="D615">
        <f>IF(C615="","",IF(C615=0,"",10000000/C615))</f>
        <v/>
      </c>
      <c r="E615">
        <f>IF(C615="","",C615/630)</f>
        <v/>
      </c>
    </row>
    <row r="616">
      <c r="B616" s="28" t="n">
        <v>45905</v>
      </c>
      <c r="C616" t="n">
        <v>551</v>
      </c>
      <c r="D616">
        <f>IF(C616="","",IF(C616=0,"",10000000/C616))</f>
        <v/>
      </c>
      <c r="E616">
        <f>IF(C616="","",C616/630)</f>
        <v/>
      </c>
    </row>
    <row r="617">
      <c r="B617" s="28" t="n">
        <v>45906</v>
      </c>
      <c r="C617" t="n">
        <v>551</v>
      </c>
      <c r="D617">
        <f>IF(C617="","",IF(C617=0,"",10000000/C617))</f>
        <v/>
      </c>
      <c r="E617">
        <f>IF(C617="","",C617/630)</f>
        <v/>
      </c>
    </row>
    <row r="618">
      <c r="B618" s="28" t="n">
        <v>45907</v>
      </c>
      <c r="C618" t="n">
        <v>544</v>
      </c>
      <c r="D618">
        <f>IF(C618="","",IF(C618=0,"",10000000/C618))</f>
        <v/>
      </c>
      <c r="E618">
        <f>IF(C618="","",C618/630)</f>
        <v/>
      </c>
    </row>
    <row r="619">
      <c r="B619" s="28" t="n">
        <v>45908</v>
      </c>
      <c r="C619" t="n">
        <v>542</v>
      </c>
      <c r="D619">
        <f>IF(C619="","",IF(C619=0,"",10000000/C619))</f>
        <v/>
      </c>
      <c r="E619">
        <f>IF(C619="","",C619/630)</f>
        <v/>
      </c>
    </row>
    <row r="620">
      <c r="B620" s="28" t="n">
        <v>45909</v>
      </c>
      <c r="C620" t="n">
        <v>541</v>
      </c>
      <c r="D620">
        <f>IF(C620="","",IF(C620=0,"",10000000/C620))</f>
        <v/>
      </c>
      <c r="E620">
        <f>IF(C620="","",C620/630)</f>
        <v/>
      </c>
    </row>
    <row r="621">
      <c r="B621" s="28" t="n">
        <v>45910</v>
      </c>
      <c r="C621" t="n">
        <v>538</v>
      </c>
      <c r="D621">
        <f>IF(C621="","",IF(C621=0,"",10000000/C621))</f>
        <v/>
      </c>
      <c r="E621">
        <f>IF(C621="","",C621/630)</f>
        <v/>
      </c>
    </row>
    <row r="622">
      <c r="B622" s="28" t="n">
        <v>45911</v>
      </c>
      <c r="C622" t="n">
        <v>532</v>
      </c>
      <c r="D622">
        <f>IF(C622="","",IF(C622=0,"",10000000/C622))</f>
        <v/>
      </c>
      <c r="E622">
        <f>IF(C622="","",C622/630)</f>
        <v/>
      </c>
    </row>
    <row r="623">
      <c r="B623" s="28" t="n">
        <v>45912</v>
      </c>
      <c r="C623" t="n">
        <v>532</v>
      </c>
      <c r="D623">
        <f>IF(C623="","",IF(C623=0,"",10000000/C623))</f>
        <v/>
      </c>
      <c r="E623">
        <f>IF(C623="","",C623/630)</f>
        <v/>
      </c>
    </row>
    <row r="624">
      <c r="B624" s="28" t="n">
        <v>45913</v>
      </c>
      <c r="C624" t="n">
        <v>532</v>
      </c>
      <c r="D624">
        <f>IF(C624="","",IF(C624=0,"",10000000/C624))</f>
        <v/>
      </c>
      <c r="E624">
        <f>IF(C624="","",C624/630)</f>
        <v/>
      </c>
    </row>
    <row r="625">
      <c r="B625" s="28" t="n">
        <v>45914</v>
      </c>
      <c r="C625" t="n">
        <v>531</v>
      </c>
      <c r="D625">
        <f>IF(C625="","",IF(C625=0,"",10000000/C625))</f>
        <v/>
      </c>
      <c r="E625">
        <f>IF(C625="","",C625/630)</f>
        <v/>
      </c>
    </row>
    <row r="626">
      <c r="B626" s="28" t="n">
        <v>45915</v>
      </c>
      <c r="C626" t="n">
        <v>530</v>
      </c>
      <c r="D626">
        <f>IF(C626="","",IF(C626=0,"",10000000/C626))</f>
        <v/>
      </c>
      <c r="E626">
        <f>IF(C626="","",C626/630)</f>
        <v/>
      </c>
    </row>
    <row r="627">
      <c r="B627" s="28" t="n">
        <v>45916</v>
      </c>
      <c r="C627" t="n">
        <v>523</v>
      </c>
      <c r="D627">
        <f>IF(C627="","",IF(C627=0,"",10000000/C627))</f>
        <v/>
      </c>
      <c r="E627">
        <f>IF(C627="","",C627/630)</f>
        <v/>
      </c>
    </row>
    <row r="628">
      <c r="B628" s="28" t="n">
        <v>45917</v>
      </c>
      <c r="C628" t="n">
        <v>518</v>
      </c>
      <c r="D628">
        <f>IF(C628="","",IF(C628=0,"",10000000/C628))</f>
        <v/>
      </c>
      <c r="E628">
        <f>IF(C628="","",C628/630)</f>
        <v/>
      </c>
    </row>
    <row r="629">
      <c r="B629" s="28" t="n">
        <v>45918</v>
      </c>
      <c r="C629" t="n">
        <v>516</v>
      </c>
      <c r="D629">
        <f>IF(C629="","",IF(C629=0,"",10000000/C629))</f>
        <v/>
      </c>
      <c r="E629">
        <f>IF(C629="","",C629/630)</f>
        <v/>
      </c>
    </row>
    <row r="630">
      <c r="B630" s="28" t="n">
        <v>45919</v>
      </c>
      <c r="C630" t="n">
        <v>521</v>
      </c>
      <c r="D630">
        <f>IF(C630="","",IF(C630=0,"",10000000/C630))</f>
        <v/>
      </c>
      <c r="E630">
        <f>IF(C630="","",C630/630)</f>
        <v/>
      </c>
    </row>
    <row r="631">
      <c r="B631" s="28" t="n">
        <v>45920</v>
      </c>
      <c r="C631" t="n">
        <v>521</v>
      </c>
      <c r="D631">
        <f>IF(C631="","",IF(C631=0,"",10000000/C631))</f>
        <v/>
      </c>
      <c r="E631">
        <f>IF(C631="","",C631/630)</f>
        <v/>
      </c>
    </row>
    <row r="632">
      <c r="B632" s="28" t="n">
        <v>45921</v>
      </c>
      <c r="C632" t="n">
        <v>529</v>
      </c>
      <c r="D632">
        <f>IF(C632="","",IF(C632=0,"",10000000/C632))</f>
        <v/>
      </c>
      <c r="E632">
        <f>IF(C632="","",C632/630)</f>
        <v/>
      </c>
    </row>
    <row r="633">
      <c r="B633" s="28" t="n">
        <v>45922</v>
      </c>
      <c r="C633" t="n">
        <v>525</v>
      </c>
      <c r="D633">
        <f>IF(C633="","",IF(C633=0,"",10000000/C633))</f>
        <v/>
      </c>
      <c r="E633">
        <f>IF(C633="","",C633/630)</f>
        <v/>
      </c>
    </row>
    <row r="634">
      <c r="B634" s="28" t="n">
        <v>45923</v>
      </c>
      <c r="C634" t="n">
        <v>517</v>
      </c>
      <c r="D634">
        <f>IF(C634="","",IF(C634=0,"",10000000/C634))</f>
        <v/>
      </c>
      <c r="E634">
        <f>IF(C634="","",C634/630)</f>
        <v/>
      </c>
    </row>
    <row r="635">
      <c r="B635" s="28" t="n">
        <v>45924</v>
      </c>
      <c r="C635" t="n">
        <v>517</v>
      </c>
      <c r="D635">
        <f>IF(C635="","",IF(C635=0,"",10000000/C635))</f>
        <v/>
      </c>
      <c r="E635">
        <f>IF(C635="","",C635/630)</f>
        <v/>
      </c>
    </row>
    <row r="636">
      <c r="B636" s="28" t="n">
        <v>45925</v>
      </c>
      <c r="C636" t="n">
        <v>515</v>
      </c>
      <c r="D636">
        <f>IF(C636="","",IF(C636=0,"",10000000/C636))</f>
        <v/>
      </c>
      <c r="E636">
        <f>IF(C636="","",C636/630)</f>
        <v/>
      </c>
    </row>
    <row r="637">
      <c r="B637" s="28" t="n">
        <v>45926</v>
      </c>
      <c r="C637" t="n">
        <v>523</v>
      </c>
      <c r="D637">
        <f>IF(C637="","",IF(C637=0,"",10000000/C637))</f>
        <v/>
      </c>
      <c r="E637">
        <f>IF(C637="","",C637/630)</f>
        <v/>
      </c>
    </row>
    <row r="638">
      <c r="B638" s="28" t="n">
        <v>45927</v>
      </c>
      <c r="C638" t="n">
        <v>523</v>
      </c>
      <c r="D638">
        <f>IF(C638="","",IF(C638=0,"",10000000/C638))</f>
        <v/>
      </c>
      <c r="E638">
        <f>IF(C638="","",C638/630)</f>
        <v/>
      </c>
    </row>
    <row r="639">
      <c r="B639" s="28" t="n">
        <v>45928</v>
      </c>
      <c r="C639" t="n">
        <v>527</v>
      </c>
      <c r="D639">
        <f>IF(C639="","",IF(C639=0,"",10000000/C639))</f>
        <v/>
      </c>
      <c r="E639">
        <f>IF(C639="","",C639/630)</f>
        <v/>
      </c>
    </row>
    <row r="640">
      <c r="B640" s="28" t="n">
        <v>45929</v>
      </c>
      <c r="C640" t="n">
        <v>537</v>
      </c>
      <c r="D640">
        <f>IF(C640="","",IF(C640=0,"",10000000/C640))</f>
        <v/>
      </c>
      <c r="E640">
        <f>IF(C640="","",C640/630)</f>
        <v/>
      </c>
    </row>
    <row r="641">
      <c r="B641" s="28" t="n">
        <v>45930</v>
      </c>
      <c r="C641" t="n">
        <v>545</v>
      </c>
      <c r="D641">
        <f>IF(C641="","",IF(C641=0,"",10000000/C641))</f>
        <v/>
      </c>
      <c r="E641">
        <f>IF(C641="","",C641/630)</f>
        <v/>
      </c>
    </row>
    <row r="642">
      <c r="B642" s="28" t="n">
        <v>45931</v>
      </c>
      <c r="C642" t="n">
        <v>546</v>
      </c>
      <c r="D642">
        <f>IF(C642="","",IF(C642=0,"",10000000/C642))</f>
        <v/>
      </c>
      <c r="E642">
        <f>IF(C642="","",C642/630)</f>
        <v/>
      </c>
    </row>
    <row r="643">
      <c r="B643" s="28" t="n">
        <v>45932</v>
      </c>
      <c r="C643" t="n">
        <v>549</v>
      </c>
      <c r="D643">
        <f>IF(C643="","",IF(C643=0,"",10000000/C643))</f>
        <v/>
      </c>
      <c r="E643">
        <f>IF(C643="","",C643/630)</f>
        <v/>
      </c>
    </row>
    <row r="644">
      <c r="B644" s="28" t="n">
        <v>45933</v>
      </c>
      <c r="C644" t="n">
        <v>553</v>
      </c>
      <c r="D644">
        <f>IF(C644="","",IF(C644=0,"",10000000/C644))</f>
        <v/>
      </c>
      <c r="E644">
        <f>IF(C644="","",C644/630)</f>
        <v/>
      </c>
    </row>
    <row r="645">
      <c r="B645" s="28" t="n">
        <v>45934</v>
      </c>
      <c r="C645" t="n">
        <v>553</v>
      </c>
      <c r="D645">
        <f>IF(C645="","",IF(C645=0,"",10000000/C645))</f>
        <v/>
      </c>
      <c r="E645">
        <f>IF(C645="","",C645/630)</f>
        <v/>
      </c>
    </row>
    <row r="646">
      <c r="B646" s="28" t="n">
        <v>45935</v>
      </c>
      <c r="C646" t="n">
        <v>552</v>
      </c>
      <c r="D646">
        <f>IF(C646="","",IF(C646=0,"",10000000/C646))</f>
        <v/>
      </c>
      <c r="E646">
        <f>IF(C646="","",C646/630)</f>
        <v/>
      </c>
    </row>
    <row r="647">
      <c r="B647" s="28" t="n">
        <v>45936</v>
      </c>
      <c r="C647" t="n">
        <v>554</v>
      </c>
      <c r="D647">
        <f>IF(C647="","",IF(C647=0,"",10000000/C647))</f>
        <v/>
      </c>
      <c r="E647">
        <f>IF(C647="","",C647/630)</f>
        <v/>
      </c>
    </row>
    <row r="648">
      <c r="B648" s="28" t="n">
        <v>45937</v>
      </c>
      <c r="C648" t="n">
        <v>557</v>
      </c>
      <c r="D648">
        <f>IF(C648="","",IF(C648=0,"",10000000/C648))</f>
        <v/>
      </c>
      <c r="E648">
        <f>IF(C648="","",C648/630)</f>
        <v/>
      </c>
    </row>
    <row r="649">
      <c r="B649" s="28" t="n">
        <v>45938</v>
      </c>
      <c r="C649" t="n">
        <v>547</v>
      </c>
      <c r="D649">
        <f>IF(C649="","",IF(C649=0,"",10000000/C649))</f>
        <v/>
      </c>
      <c r="E649">
        <f>IF(C649="","",C649/630)</f>
        <v/>
      </c>
    </row>
    <row r="650">
      <c r="B650" s="28" t="n">
        <v>45939</v>
      </c>
      <c r="C650" t="n">
        <v>577</v>
      </c>
      <c r="D650">
        <f>IF(C650="","",IF(C650=0,"",10000000/C650))</f>
        <v/>
      </c>
      <c r="E650">
        <f>IF(C650="","",C650/630)</f>
        <v/>
      </c>
    </row>
    <row r="651">
      <c r="B651" s="28" t="n">
        <v>45940</v>
      </c>
      <c r="C651" t="n">
        <v>605</v>
      </c>
      <c r="D651">
        <f>IF(C651="","",IF(C651=0,"",10000000/C651))</f>
        <v/>
      </c>
      <c r="E651">
        <f>IF(C651="","",C651/630)</f>
        <v/>
      </c>
    </row>
    <row r="652">
      <c r="B652" s="28" t="n">
        <v>45941</v>
      </c>
      <c r="C652" t="n">
        <v>605</v>
      </c>
      <c r="D652">
        <f>IF(C652="","",IF(C652=0,"",10000000/C652))</f>
        <v/>
      </c>
      <c r="E652">
        <f>IF(C652="","",C652/630)</f>
        <v/>
      </c>
    </row>
    <row r="653">
      <c r="B653" s="28" t="n">
        <v>45942</v>
      </c>
      <c r="C653" t="n">
        <v>608</v>
      </c>
      <c r="D653">
        <f>IF(C653="","",IF(C653=0,"",10000000/C653))</f>
        <v/>
      </c>
      <c r="E653">
        <f>IF(C653="","",C653/630)</f>
        <v/>
      </c>
    </row>
    <row r="654">
      <c r="B654" s="28" t="n">
        <v>45943</v>
      </c>
      <c r="C654" t="n">
        <v>609</v>
      </c>
      <c r="D654">
        <f>IF(C654="","",IF(C654=0,"",10000000/C654))</f>
        <v/>
      </c>
      <c r="E654">
        <f>IF(C654="","",C654/630)</f>
        <v/>
      </c>
    </row>
    <row r="655">
      <c r="B655" s="28" t="n">
        <v>45944</v>
      </c>
      <c r="C655" t="n">
        <v>610</v>
      </c>
      <c r="D655">
        <f>IF(C655="","",IF(C655=0,"",10000000/C655))</f>
        <v/>
      </c>
      <c r="E655">
        <f>IF(C655="","",C655/630)</f>
        <v/>
      </c>
    </row>
    <row r="656">
      <c r="B656" s="28" t="n">
        <v>45945</v>
      </c>
      <c r="C656" t="n">
        <v>607</v>
      </c>
      <c r="D656">
        <f>IF(C656="","",IF(C656=0,"",10000000/C656))</f>
        <v/>
      </c>
      <c r="E656">
        <f>IF(C656="","",C656/630)</f>
        <v/>
      </c>
    </row>
    <row r="657">
      <c r="B657" s="28" t="n">
        <v>45946</v>
      </c>
      <c r="C657" t="n">
        <v>616</v>
      </c>
      <c r="D657">
        <f>IF(C657="","",IF(C657=0,"",10000000/C657))</f>
        <v/>
      </c>
      <c r="E657">
        <f>IF(C657="","",C657/630)</f>
        <v/>
      </c>
    </row>
    <row r="658">
      <c r="B658" s="28" t="n">
        <v>45947</v>
      </c>
      <c r="C658" t="n">
        <v>617</v>
      </c>
      <c r="D658">
        <f>IF(C658="","",IF(C658=0,"",10000000/C658))</f>
        <v/>
      </c>
      <c r="E658">
        <f>IF(C658="","",C658/630)</f>
        <v/>
      </c>
    </row>
    <row r="659">
      <c r="B659" s="28" t="n">
        <v>45948</v>
      </c>
      <c r="C659" t="n">
        <v>618</v>
      </c>
      <c r="D659">
        <f>IF(C659="","",IF(C659=0,"",10000000/C659))</f>
        <v/>
      </c>
      <c r="E659">
        <f>IF(C659="","",C659/630)</f>
        <v/>
      </c>
    </row>
    <row r="660">
      <c r="B660" s="28" t="n">
        <v>45949</v>
      </c>
      <c r="C660" t="n">
        <v>612</v>
      </c>
      <c r="D660">
        <f>IF(C660="","",IF(C660=0,"",10000000/C660))</f>
        <v/>
      </c>
      <c r="E660">
        <f>IF(C660="","",C660/630)</f>
        <v/>
      </c>
    </row>
    <row r="661">
      <c r="B661" s="28" t="n">
        <v>45950</v>
      </c>
      <c r="C661" t="n">
        <v>618</v>
      </c>
      <c r="D661">
        <f>IF(C661="","",IF(C661=0,"",10000000/C661))</f>
        <v/>
      </c>
      <c r="E661">
        <f>IF(C661="","",C661/630)</f>
        <v/>
      </c>
    </row>
    <row r="662">
      <c r="B662" s="28" t="n">
        <v>45951</v>
      </c>
      <c r="C662" t="n">
        <v>616</v>
      </c>
      <c r="D662">
        <f>IF(C662="","",IF(C662=0,"",10000000/C662))</f>
        <v/>
      </c>
      <c r="E662">
        <f>IF(C662="","",C662/630)</f>
        <v/>
      </c>
    </row>
    <row r="663">
      <c r="B663" s="28" t="n">
        <v>45952</v>
      </c>
      <c r="C663" t="n">
        <v>613</v>
      </c>
      <c r="D663">
        <f>IF(C663="","",IF(C663=0,"",10000000/C663))</f>
        <v/>
      </c>
      <c r="E663">
        <f>IF(C663="","",C663/630)</f>
        <v/>
      </c>
    </row>
    <row r="664">
      <c r="B664" s="28" t="n">
        <v>45953</v>
      </c>
      <c r="C664" t="n">
        <v>609</v>
      </c>
      <c r="D664">
        <f>IF(C664="","",IF(C664=0,"",10000000/C664))</f>
        <v/>
      </c>
      <c r="E664">
        <f>IF(C664="","",C664/630)</f>
        <v/>
      </c>
    </row>
    <row r="665">
      <c r="B665" s="28" t="n">
        <v>45954</v>
      </c>
      <c r="C665" t="n">
        <v>612</v>
      </c>
      <c r="D665">
        <f>IF(C665="","",IF(C665=0,"",10000000/C665))</f>
        <v/>
      </c>
      <c r="E665">
        <f>IF(C665="","",C665/630)</f>
        <v/>
      </c>
    </row>
    <row r="666">
      <c r="B666" s="28" t="n">
        <v>45955</v>
      </c>
      <c r="C666" t="n">
        <v>611</v>
      </c>
      <c r="D666">
        <f>IF(C666="","",IF(C666=0,"",10000000/C666))</f>
        <v/>
      </c>
      <c r="E666">
        <f>IF(C666="","",C666/630)</f>
        <v/>
      </c>
    </row>
    <row r="667">
      <c r="B667" s="28" t="n">
        <v>45956</v>
      </c>
      <c r="C667" t="n">
        <v>619</v>
      </c>
      <c r="D667">
        <f>IF(C667="","",IF(C667=0,"",10000000/C667))</f>
        <v/>
      </c>
      <c r="E667">
        <f>IF(C667="","",C667/630)</f>
        <v/>
      </c>
    </row>
    <row r="668">
      <c r="B668" s="28" t="n">
        <v>45957</v>
      </c>
      <c r="C668" t="n">
        <v>621</v>
      </c>
      <c r="D668">
        <f>IF(C668="","",IF(C668=0,"",10000000/C668))</f>
        <v/>
      </c>
      <c r="E668">
        <f>IF(C668="","",C668/630)</f>
        <v/>
      </c>
    </row>
    <row r="669">
      <c r="B669" s="28" t="n">
        <v>45958</v>
      </c>
      <c r="C669" t="n">
        <v>619</v>
      </c>
      <c r="D669">
        <f>IF(C669="","",IF(C669=0,"",10000000/C669))</f>
        <v/>
      </c>
      <c r="E669">
        <f>IF(C669="","",C669/630)</f>
        <v/>
      </c>
    </row>
    <row r="670">
      <c r="B670" s="28" t="n">
        <v>45959</v>
      </c>
      <c r="C670" t="n">
        <v>616</v>
      </c>
      <c r="D670">
        <f>IF(C670="","",IF(C670=0,"",10000000/C670))</f>
        <v/>
      </c>
      <c r="E670">
        <f>IF(C670="","",C670/630)</f>
        <v/>
      </c>
    </row>
    <row r="671">
      <c r="B671" s="28" t="n">
        <v>45960</v>
      </c>
      <c r="C671" t="n">
        <v>614</v>
      </c>
      <c r="D671">
        <f>IF(C671="","",IF(C671=0,"",10000000/C671))</f>
        <v/>
      </c>
      <c r="E671">
        <f>IF(C671="","",C671/630)</f>
        <v/>
      </c>
    </row>
    <row r="672">
      <c r="B672" s="28" t="n">
        <v>45961</v>
      </c>
      <c r="C672" t="n">
        <v>601</v>
      </c>
      <c r="D672">
        <f>IF(C672="","",IF(C672=0,"",10000000/C672))</f>
        <v/>
      </c>
      <c r="E672">
        <f>IF(C672="","",C672/630)</f>
        <v/>
      </c>
    </row>
    <row r="673">
      <c r="B673" s="28" t="n">
        <v>45962</v>
      </c>
      <c r="C673" t="n">
        <v>601</v>
      </c>
      <c r="D673">
        <f>IF(C673="","",IF(C673=0,"",10000000/C673))</f>
        <v/>
      </c>
      <c r="E673">
        <f>IF(C673="","",C673/630)</f>
        <v/>
      </c>
    </row>
    <row r="674">
      <c r="B674" s="28" t="n">
        <v>45963</v>
      </c>
      <c r="C674" t="n">
        <v>546</v>
      </c>
      <c r="D674">
        <f>IF(C674="","",IF(C674=0,"",10000000/C674))</f>
        <v/>
      </c>
      <c r="E674">
        <f>IF(C674="","",C674/630)</f>
        <v/>
      </c>
    </row>
    <row r="675">
      <c r="B675" s="28" t="n">
        <v>45964</v>
      </c>
      <c r="C675" t="n">
        <v>540</v>
      </c>
      <c r="D675">
        <f>IF(C675="","",IF(C675=0,"",10000000/C675))</f>
        <v/>
      </c>
      <c r="E675">
        <f>IF(C675="","",C675/630)</f>
        <v/>
      </c>
    </row>
    <row r="676">
      <c r="B676" s="28" t="n">
        <v>45965</v>
      </c>
      <c r="C676" t="n">
        <v>538</v>
      </c>
      <c r="D676">
        <f>IF(C676="","",IF(C676=0,"",10000000/C676))</f>
        <v/>
      </c>
      <c r="E676">
        <f>IF(C676="","",C676/630)</f>
        <v/>
      </c>
    </row>
    <row r="677">
      <c r="B677" s="28" t="n">
        <v>45966</v>
      </c>
      <c r="C677" t="n">
        <v>542</v>
      </c>
      <c r="D677">
        <f>IF(C677="","",IF(C677=0,"",10000000/C677))</f>
        <v/>
      </c>
      <c r="E677">
        <f>IF(C677="","",C677/630)</f>
        <v/>
      </c>
    </row>
    <row r="678">
      <c r="B678" s="28" t="n">
        <v>45967</v>
      </c>
      <c r="C678" t="n">
        <v>543</v>
      </c>
      <c r="D678">
        <f>IF(C678="","",IF(C678=0,"",10000000/C678))</f>
        <v/>
      </c>
      <c r="E678">
        <f>IF(C678="","",C678/630)</f>
        <v/>
      </c>
    </row>
    <row r="679">
      <c r="B679" s="28" t="n">
        <v>45968</v>
      </c>
      <c r="C679" t="n">
        <v>541</v>
      </c>
      <c r="D679">
        <f>IF(C679="","",IF(C679=0,"",10000000/C679))</f>
        <v/>
      </c>
      <c r="E679">
        <f>IF(C679="","",C679/630)</f>
        <v/>
      </c>
    </row>
    <row r="680">
      <c r="B680" s="28" t="n">
        <v>45969</v>
      </c>
      <c r="C680" t="n">
        <v>541</v>
      </c>
      <c r="D680">
        <f>IF(C680="","",IF(C680=0,"",10000000/C680))</f>
        <v/>
      </c>
      <c r="E680">
        <f>IF(C680="","",C680/630)</f>
        <v/>
      </c>
    </row>
    <row r="681">
      <c r="B681" s="28" t="n">
        <v>45970</v>
      </c>
      <c r="C681" t="n">
        <v>541</v>
      </c>
      <c r="D681">
        <f>IF(C681="","",IF(C681=0,"",10000000/C681))</f>
        <v/>
      </c>
      <c r="E681">
        <f>IF(C681="","",C681/630)</f>
        <v/>
      </c>
    </row>
    <row r="682">
      <c r="B682" s="28" t="n">
        <v>45971</v>
      </c>
      <c r="C682" t="n">
        <v>543</v>
      </c>
      <c r="D682">
        <f>IF(C682="","",IF(C682=0,"",10000000/C682))</f>
        <v/>
      </c>
      <c r="E682">
        <f>IF(C682="","",C682/630)</f>
        <v/>
      </c>
    </row>
    <row r="683">
      <c r="B683" s="28" t="n">
        <v>45972</v>
      </c>
      <c r="C683" t="n">
        <v>541</v>
      </c>
      <c r="D683">
        <f>IF(C683="","",IF(C683=0,"",10000000/C683))</f>
        <v/>
      </c>
      <c r="E683">
        <f>IF(C683="","",C683/630)</f>
        <v/>
      </c>
    </row>
    <row r="684">
      <c r="B684" s="28" t="n">
        <v>45973</v>
      </c>
      <c r="C684" t="n">
        <v>541</v>
      </c>
      <c r="D684">
        <f>IF(C684="","",IF(C684=0,"",10000000/C684))</f>
        <v/>
      </c>
      <c r="E684">
        <f>IF(C684="","",C684/630)</f>
        <v/>
      </c>
    </row>
    <row r="685">
      <c r="B685" s="28" t="n">
        <v>45974</v>
      </c>
      <c r="C685" t="n">
        <v>537</v>
      </c>
      <c r="D685">
        <f>IF(C685="","",IF(C685=0,"",10000000/C685))</f>
        <v/>
      </c>
      <c r="E685">
        <f>IF(C685="","",C685/630)</f>
        <v/>
      </c>
    </row>
    <row r="686">
      <c r="B686" s="28" t="n">
        <v>45975</v>
      </c>
      <c r="C686" t="n">
        <v>528</v>
      </c>
      <c r="D686">
        <f>IF(C686="","",IF(C686=0,"",10000000/C686))</f>
        <v/>
      </c>
      <c r="E686">
        <f>IF(C686="","",C686/630)</f>
        <v/>
      </c>
    </row>
    <row r="687">
      <c r="B687" s="28" t="n">
        <v>45976</v>
      </c>
      <c r="C687" t="n">
        <v>528</v>
      </c>
      <c r="D687">
        <f>IF(C687="","",IF(C687=0,"",10000000/C687))</f>
        <v/>
      </c>
      <c r="E687">
        <f>IF(C687="","",C687/630)</f>
        <v/>
      </c>
    </row>
    <row r="688">
      <c r="B688" s="28" t="n">
        <v>45977</v>
      </c>
      <c r="C688" t="n">
        <v>518</v>
      </c>
      <c r="D688">
        <f>IF(C688="","",IF(C688=0,"",10000000/C688))</f>
        <v/>
      </c>
      <c r="E688">
        <f>IF(C688="","",C688/630)</f>
        <v/>
      </c>
    </row>
    <row r="689">
      <c r="B689" s="28" t="n">
        <v>45978</v>
      </c>
      <c r="C689" t="n">
        <v>519</v>
      </c>
      <c r="D689">
        <f>IF(C689="","",IF(C689=0,"",10000000/C689))</f>
        <v/>
      </c>
      <c r="E689">
        <f>IF(C689="","",C689/630)</f>
        <v/>
      </c>
    </row>
    <row r="690">
      <c r="B690" s="28" t="n">
        <v>45979</v>
      </c>
      <c r="C690" t="n">
        <v>523</v>
      </c>
      <c r="D690">
        <f>IF(C690="","",IF(C690=0,"",10000000/C690))</f>
        <v/>
      </c>
      <c r="E690">
        <f>IF(C690="","",C690/630)</f>
        <v/>
      </c>
    </row>
    <row r="691">
      <c r="B691" s="28" t="n">
        <v>45980</v>
      </c>
      <c r="C691" t="n">
        <v>525</v>
      </c>
      <c r="D691">
        <f>IF(C691="","",IF(C691=0,"",10000000/C691))</f>
        <v/>
      </c>
      <c r="E691">
        <f>IF(C691="","",C691/630)</f>
        <v/>
      </c>
    </row>
    <row r="692">
      <c r="B692" s="28" t="n">
        <v>45981</v>
      </c>
      <c r="C692" t="n">
        <v>534</v>
      </c>
      <c r="D692">
        <f>IF(C692="","",IF(C692=0,"",10000000/C692))</f>
        <v/>
      </c>
      <c r="E692">
        <f>IF(C692="","",C692/630)</f>
        <v/>
      </c>
    </row>
    <row r="693">
      <c r="B693" s="28" t="n">
        <v>45982</v>
      </c>
      <c r="C693" t="n">
        <v>539</v>
      </c>
      <c r="D693">
        <f>IF(C693="","",IF(C693=0,"",10000000/C693))</f>
        <v/>
      </c>
      <c r="E693">
        <f>IF(C693="","",C693/630)</f>
        <v/>
      </c>
    </row>
    <row r="694">
      <c r="B694" s="28" t="n">
        <v>45983</v>
      </c>
      <c r="C694" t="n">
        <v>539</v>
      </c>
      <c r="D694">
        <f>IF(C694="","",IF(C694=0,"",10000000/C694))</f>
        <v/>
      </c>
      <c r="E694">
        <f>IF(C694="","",C694/630)</f>
        <v/>
      </c>
    </row>
    <row r="695">
      <c r="B695" s="28" t="n">
        <v>45984</v>
      </c>
      <c r="C695" t="n">
        <v>538</v>
      </c>
      <c r="D695">
        <f>IF(C695="","",IF(C695=0,"",10000000/C695))</f>
        <v/>
      </c>
      <c r="E695">
        <f>IF(C695="","",C695/630)</f>
        <v/>
      </c>
    </row>
    <row r="696">
      <c r="B696" s="28" t="n">
        <v>45985</v>
      </c>
      <c r="C696" t="n">
        <v>538</v>
      </c>
      <c r="D696">
        <f>IF(C696="","",IF(C696=0,"",10000000/C696))</f>
        <v/>
      </c>
      <c r="E696">
        <f>IF(C696="","",C696/630)</f>
        <v/>
      </c>
    </row>
    <row r="697">
      <c r="B697" s="28" t="n">
        <v>45986</v>
      </c>
      <c r="C697" t="n">
        <v>539</v>
      </c>
      <c r="D697">
        <f>IF(C697="","",IF(C697=0,"",10000000/C697))</f>
        <v/>
      </c>
      <c r="E697">
        <f>IF(C697="","",C697/630)</f>
        <v/>
      </c>
    </row>
    <row r="698">
      <c r="B698" s="28" t="n">
        <v>45987</v>
      </c>
      <c r="C698" t="n">
        <v>530</v>
      </c>
      <c r="D698">
        <f>IF(C698="","",IF(C698=0,"",10000000/C698))</f>
        <v/>
      </c>
      <c r="E698">
        <f>IF(C698="","",C698/630)</f>
        <v/>
      </c>
    </row>
    <row r="699">
      <c r="B699" s="28" t="n">
        <v>45988</v>
      </c>
      <c r="C699" t="n">
        <v>522</v>
      </c>
      <c r="D699">
        <f>IF(C699="","",IF(C699=0,"",10000000/C699))</f>
        <v/>
      </c>
      <c r="E699">
        <f>IF(C699="","",C699/630)</f>
        <v/>
      </c>
    </row>
    <row r="700">
      <c r="B700" s="28" t="n">
        <v>45989</v>
      </c>
      <c r="C700" t="n">
        <v>516</v>
      </c>
      <c r="D700">
        <f>IF(C700="","",IF(C700=0,"",10000000/C700))</f>
        <v/>
      </c>
      <c r="E700">
        <f>IF(C700="","",C700/630)</f>
        <v/>
      </c>
    </row>
    <row r="701">
      <c r="B701" s="28" t="n">
        <v>45990</v>
      </c>
      <c r="C701" t="n">
        <v>516</v>
      </c>
      <c r="D701">
        <f>IF(C701="","",IF(C701=0,"",10000000/C701))</f>
        <v/>
      </c>
      <c r="E701">
        <f>IF(C701="","",C701/630)</f>
        <v/>
      </c>
    </row>
    <row r="702">
      <c r="B702" s="28" t="n">
        <v>45991</v>
      </c>
      <c r="C702" t="n">
        <v>490</v>
      </c>
      <c r="D702">
        <f>IF(C702="","",IF(C702=0,"",10000000/C702))</f>
        <v/>
      </c>
      <c r="E702">
        <f>IF(C702="","",C702/630)</f>
        <v/>
      </c>
    </row>
    <row r="703">
      <c r="B703" s="28" t="n">
        <v>45992</v>
      </c>
      <c r="C703" t="n">
        <v>491</v>
      </c>
      <c r="D703">
        <f>IF(C703="","",IF(C703=0,"",10000000/C703))</f>
        <v/>
      </c>
      <c r="E703">
        <f>IF(C703="","",C703/630)</f>
        <v/>
      </c>
    </row>
    <row r="704">
      <c r="B704" s="28" t="n">
        <v>45993</v>
      </c>
      <c r="C704" t="n">
        <v>489</v>
      </c>
      <c r="D704">
        <f>IF(C704="","",IF(C704=0,"",10000000/C704))</f>
        <v/>
      </c>
      <c r="E704">
        <f>IF(C704="","",C704/630)</f>
        <v/>
      </c>
    </row>
    <row r="705">
      <c r="B705" s="28" t="n">
        <v>45994</v>
      </c>
      <c r="C705" t="n">
        <v>489</v>
      </c>
      <c r="D705">
        <f>IF(C705="","",IF(C705=0,"",10000000/C705))</f>
        <v/>
      </c>
      <c r="E705">
        <f>IF(C705="","",C705/630)</f>
        <v/>
      </c>
    </row>
    <row r="706">
      <c r="B706" s="28" t="n">
        <v>45995</v>
      </c>
      <c r="C706" t="n">
        <v>499</v>
      </c>
      <c r="D706">
        <f>IF(C706="","",IF(C706=0,"",10000000/C706))</f>
        <v/>
      </c>
      <c r="E706">
        <f>IF(C706="","",C706/630)</f>
        <v/>
      </c>
    </row>
    <row r="707">
      <c r="B707" s="28" t="n">
        <v>45996</v>
      </c>
      <c r="C707" t="n">
        <v>504</v>
      </c>
      <c r="D707">
        <f>IF(C707="","",IF(C707=0,"",10000000/C707))</f>
        <v/>
      </c>
      <c r="E707">
        <f>IF(C707="","",C707/630)</f>
        <v/>
      </c>
    </row>
    <row r="708">
      <c r="B708" s="28" t="n">
        <v>45997</v>
      </c>
      <c r="C708" t="n">
        <v>504</v>
      </c>
      <c r="D708">
        <f>IF(C708="","",IF(C708=0,"",10000000/C708))</f>
        <v/>
      </c>
      <c r="E708">
        <f>IF(C708="","",C708/630)</f>
        <v/>
      </c>
    </row>
    <row r="709">
      <c r="B709" s="28" t="n">
        <v>45998</v>
      </c>
      <c r="C709" t="n">
        <v>507</v>
      </c>
      <c r="D709">
        <f>IF(C709="","",IF(C709=0,"",10000000/C709))</f>
        <v/>
      </c>
      <c r="E709">
        <f>IF(C709="","",C709/630)</f>
        <v/>
      </c>
    </row>
    <row r="710">
      <c r="B710" s="28" t="n">
        <v>45999</v>
      </c>
      <c r="C710" t="n">
        <v>502</v>
      </c>
      <c r="D710">
        <f>IF(C710="","",IF(C710=0,"",10000000/C710))</f>
        <v/>
      </c>
      <c r="E710">
        <f>IF(C710="","",C710/630)</f>
        <v/>
      </c>
    </row>
    <row r="711">
      <c r="B711" s="28" t="n">
        <v>46000</v>
      </c>
      <c r="C711" t="n">
        <v>503</v>
      </c>
      <c r="D711">
        <f>IF(C711="","",IF(C711=0,"",10000000/C711))</f>
        <v/>
      </c>
      <c r="E711">
        <f>IF(C711="","",C711/630)</f>
        <v/>
      </c>
    </row>
    <row r="712">
      <c r="B712" s="28" t="n">
        <v>46001</v>
      </c>
      <c r="C712" t="n">
        <v>501</v>
      </c>
      <c r="D712">
        <f>IF(C712="","",IF(C712=0,"",10000000/C712))</f>
        <v/>
      </c>
      <c r="E712">
        <f>IF(C712="","",C712/630)</f>
        <v/>
      </c>
    </row>
    <row r="713">
      <c r="B713" s="28" t="n">
        <v>46002</v>
      </c>
      <c r="C713" t="n">
        <v>502</v>
      </c>
      <c r="D713">
        <f>IF(C713="","",IF(C713=0,"",10000000/C713))</f>
        <v/>
      </c>
      <c r="E713">
        <f>IF(C713="","",C713/630)</f>
        <v/>
      </c>
    </row>
    <row r="714">
      <c r="B714" s="28" t="n">
        <v>46003</v>
      </c>
      <c r="C714" t="n">
        <v>505</v>
      </c>
      <c r="D714">
        <f>IF(C714="","",IF(C714=0,"",10000000/C714))</f>
        <v/>
      </c>
      <c r="E714">
        <f>IF(C714="","",C714/630)</f>
        <v/>
      </c>
    </row>
    <row r="715">
      <c r="B715" s="28" t="n">
        <v>46004</v>
      </c>
      <c r="C715" t="n">
        <v>505</v>
      </c>
      <c r="D715">
        <f>IF(C715="","",IF(C715=0,"",10000000/C715))</f>
        <v/>
      </c>
      <c r="E715">
        <f>IF(C715="","",C715/630)</f>
        <v/>
      </c>
    </row>
    <row r="716">
      <c r="B716" s="28" t="n">
        <v>46005</v>
      </c>
      <c r="C716" t="n">
        <v>507</v>
      </c>
      <c r="D716">
        <f>IF(C716="","",IF(C716=0,"",10000000/C716))</f>
        <v/>
      </c>
      <c r="E716">
        <f>IF(C716="","",C716/630)</f>
        <v/>
      </c>
    </row>
    <row r="717">
      <c r="B717" s="28" t="n">
        <v>46006</v>
      </c>
      <c r="C717" t="n">
        <v>508</v>
      </c>
      <c r="D717">
        <f>IF(C717="","",IF(C717=0,"",10000000/C717))</f>
        <v/>
      </c>
      <c r="E717">
        <f>IF(C717="","",C717/630)</f>
        <v/>
      </c>
    </row>
    <row r="718">
      <c r="B718" s="28" t="n">
        <v>46007</v>
      </c>
      <c r="C718" t="n">
        <v>505</v>
      </c>
      <c r="D718">
        <f>IF(C718="","",IF(C718=0,"",10000000/C718))</f>
        <v/>
      </c>
      <c r="E718">
        <f>IF(C718="","",C718/630)</f>
        <v/>
      </c>
    </row>
    <row r="719">
      <c r="B719" s="28" t="n">
        <v>46008</v>
      </c>
      <c r="C719" t="n">
        <v>501</v>
      </c>
      <c r="D719">
        <f>IF(C719="","",IF(C719=0,"",10000000/C719))</f>
        <v/>
      </c>
      <c r="E719">
        <f>IF(C719="","",C719/630)</f>
        <v/>
      </c>
    </row>
    <row r="720">
      <c r="B720" s="28" t="n">
        <v>46009</v>
      </c>
      <c r="C720" t="n">
        <v>504</v>
      </c>
      <c r="D720">
        <f>IF(C720="","",IF(C720=0,"",10000000/C720))</f>
        <v/>
      </c>
      <c r="E720">
        <f>IF(C720="","",C720/630)</f>
        <v/>
      </c>
    </row>
    <row r="721">
      <c r="B721" s="28" t="n">
        <v>46010</v>
      </c>
      <c r="C721" t="n">
        <v>508</v>
      </c>
      <c r="D721">
        <f>IF(C721="","",IF(C721=0,"",10000000/C721))</f>
        <v/>
      </c>
      <c r="E721">
        <f>IF(C721="","",C721/630)</f>
        <v/>
      </c>
    </row>
    <row r="722">
      <c r="B722" s="28" t="n">
        <v>46011</v>
      </c>
      <c r="C722" t="n">
        <v>508</v>
      </c>
      <c r="D722">
        <f>IF(C722="","",IF(C722=0,"",10000000/C722))</f>
        <v/>
      </c>
      <c r="E722">
        <f>IF(C722="","",C722/630)</f>
        <v/>
      </c>
    </row>
    <row r="723">
      <c r="B723" s="28" t="n">
        <v>46012</v>
      </c>
      <c r="C723" t="n">
        <v>506</v>
      </c>
      <c r="D723">
        <f>IF(C723="","",IF(C723=0,"",10000000/C723))</f>
        <v/>
      </c>
      <c r="E723">
        <f>IF(C723="","",C723/630)</f>
        <v/>
      </c>
    </row>
    <row r="724">
      <c r="B724" s="28" t="n">
        <v>46013</v>
      </c>
      <c r="C724" t="n">
        <v>506</v>
      </c>
      <c r="D724">
        <f>IF(C724="","",IF(C724=0,"",10000000/C724))</f>
        <v/>
      </c>
      <c r="E724">
        <f>IF(C724="","",C724/630)</f>
        <v/>
      </c>
    </row>
    <row r="725">
      <c r="B725" s="28" t="n">
        <v>46014</v>
      </c>
      <c r="C725" t="n">
        <v>507</v>
      </c>
      <c r="D725">
        <f>IF(C725="","",IF(C725=0,"",10000000/C725))</f>
        <v/>
      </c>
      <c r="E725">
        <f>IF(C725="","",C725/630)</f>
        <v/>
      </c>
    </row>
    <row r="726">
      <c r="B726" s="28" t="n">
        <v>46015</v>
      </c>
      <c r="C726" t="n">
        <v>507</v>
      </c>
      <c r="D726">
        <f>IF(C726="","",IF(C726=0,"",10000000/C726))</f>
        <v/>
      </c>
      <c r="E726">
        <f>IF(C726="","",C726/630)</f>
        <v/>
      </c>
    </row>
    <row r="727">
      <c r="B727" s="28" t="n">
        <v>46016</v>
      </c>
      <c r="C727" t="n">
        <v>507</v>
      </c>
      <c r="D727">
        <f>IF(C727="","",IF(C727=0,"",10000000/C727))</f>
        <v/>
      </c>
      <c r="E727">
        <f>IF(C727="","",C727/630)</f>
        <v/>
      </c>
    </row>
    <row r="728">
      <c r="B728" s="28" t="n">
        <v>46017</v>
      </c>
      <c r="C728" t="n">
        <v>505</v>
      </c>
      <c r="D728">
        <f>IF(C728="","",IF(C728=0,"",10000000/C728))</f>
        <v/>
      </c>
      <c r="E728">
        <f>IF(C728="","",C728/630)</f>
        <v/>
      </c>
    </row>
    <row r="729">
      <c r="B729" s="28" t="n">
        <v>46018</v>
      </c>
      <c r="C729" t="n">
        <v>506</v>
      </c>
      <c r="D729">
        <f>IF(C729="","",IF(C729=0,"",10000000/C729))</f>
        <v/>
      </c>
      <c r="E729">
        <f>IF(C729="","",C729/630)</f>
        <v/>
      </c>
    </row>
    <row r="730">
      <c r="B730" s="28" t="n">
        <v>46019</v>
      </c>
      <c r="C730" t="n">
        <v>504</v>
      </c>
      <c r="D730">
        <f>IF(C730="","",IF(C730=0,"",10000000/C730))</f>
        <v/>
      </c>
      <c r="E730">
        <f>IF(C730="","",C730/630)</f>
        <v/>
      </c>
    </row>
    <row r="731">
      <c r="B731" s="28" t="n">
        <v>46020</v>
      </c>
      <c r="C731" t="n">
        <v>501</v>
      </c>
      <c r="D731">
        <f>IF(C731="","",IF(C731=0,"",10000000/C731))</f>
        <v/>
      </c>
      <c r="E731">
        <f>IF(C731="","",C731/630)</f>
        <v/>
      </c>
    </row>
    <row r="732">
      <c r="B732" s="28" t="n">
        <v>46021</v>
      </c>
      <c r="C732" t="n">
        <v>503</v>
      </c>
      <c r="D732">
        <f>IF(C732="","",IF(C732=0,"",10000000/C732))</f>
        <v/>
      </c>
      <c r="E732">
        <f>IF(C732="","",C732/630)</f>
        <v/>
      </c>
    </row>
    <row r="733">
      <c r="B733" s="28" t="n">
        <v>46022</v>
      </c>
      <c r="C733" t="n">
        <v>497</v>
      </c>
      <c r="D733">
        <f>IF(C733="","",IF(C733=0,"",10000000/C733))</f>
        <v/>
      </c>
      <c r="E733">
        <f>IF(C733="","",C733/630)</f>
        <v/>
      </c>
    </row>
    <row r="734">
      <c r="B734" s="28" t="n">
        <v>46023</v>
      </c>
      <c r="C734" t="n">
        <v>497</v>
      </c>
      <c r="D734">
        <f>IF(C734="","",IF(C734=0,"",10000000/C734))</f>
        <v/>
      </c>
      <c r="E734">
        <f>IF(C734="","",C734/630)</f>
        <v/>
      </c>
    </row>
    <row r="735">
      <c r="B735" s="28" t="n">
        <v>46024</v>
      </c>
      <c r="C735" t="n">
        <v>498</v>
      </c>
      <c r="D735">
        <f>IF(C735="","",IF(C735=0,"",10000000/C735))</f>
        <v/>
      </c>
      <c r="E735">
        <f>IF(C735="","",C735/630)</f>
        <v/>
      </c>
    </row>
    <row r="736">
      <c r="B736" s="28" t="n">
        <v>46025</v>
      </c>
      <c r="C736" t="n">
        <v>497</v>
      </c>
      <c r="D736">
        <f>IF(C736="","",IF(C736=0,"",10000000/C736))</f>
        <v/>
      </c>
      <c r="E736">
        <f>IF(C736="","",C736/630)</f>
        <v/>
      </c>
    </row>
    <row r="737">
      <c r="B737" s="28" t="n">
        <v>46026</v>
      </c>
      <c r="C737" t="n">
        <v>495</v>
      </c>
      <c r="D737">
        <f>IF(C737="","",IF(C737=0,"",10000000/C737))</f>
        <v/>
      </c>
      <c r="E737">
        <f>IF(C737="","",C737/630)</f>
        <v/>
      </c>
    </row>
    <row r="738">
      <c r="B738" s="28" t="n">
        <v>46027</v>
      </c>
      <c r="C738" t="n">
        <v>494</v>
      </c>
      <c r="D738">
        <f>IF(C738="","",IF(C738=0,"",10000000/C738))</f>
        <v/>
      </c>
      <c r="E738">
        <f>IF(C738="","",C738/630)</f>
        <v/>
      </c>
    </row>
    <row r="739">
      <c r="B739" s="28" t="n">
        <v>46028</v>
      </c>
      <c r="C739" t="n">
        <v>499</v>
      </c>
      <c r="D739">
        <f>IF(C739="","",IF(C739=0,"",10000000/C739))</f>
        <v/>
      </c>
      <c r="E739">
        <f>IF(C739="","",C739/630)</f>
        <v/>
      </c>
    </row>
    <row r="740">
      <c r="B740" s="28" t="n">
        <v>46029</v>
      </c>
      <c r="C740" t="n">
        <v>501</v>
      </c>
      <c r="D740">
        <f>IF(C740="","",IF(C740=0,"",10000000/C740))</f>
        <v/>
      </c>
      <c r="E740">
        <f>IF(C740="","",C740/630)</f>
        <v/>
      </c>
    </row>
    <row r="741">
      <c r="B741" s="28" t="n">
        <v>46030</v>
      </c>
      <c r="C741" t="n">
        <v>504</v>
      </c>
      <c r="D741">
        <f>IF(C741="","",IF(C741=0,"",10000000/C741))</f>
        <v/>
      </c>
      <c r="E741">
        <f>IF(C741="","",C741/630)</f>
        <v/>
      </c>
    </row>
    <row r="742">
      <c r="B742" s="28" t="n">
        <v>46031</v>
      </c>
      <c r="C742" t="n">
        <v>505</v>
      </c>
      <c r="D742">
        <f>IF(C742="","",IF(C742=0,"",10000000/C742))</f>
        <v/>
      </c>
      <c r="E742">
        <f>IF(C742="","",C742/630)</f>
        <v/>
      </c>
    </row>
    <row r="743">
      <c r="B743" s="28" t="n">
        <v>46032</v>
      </c>
      <c r="C743" t="n">
        <v>505</v>
      </c>
      <c r="D743">
        <f>IF(C743="","",IF(C743=0,"",10000000/C743))</f>
        <v/>
      </c>
      <c r="E743">
        <f>IF(C743="","",C743/630)</f>
        <v/>
      </c>
    </row>
    <row r="744">
      <c r="B744" s="28" t="n">
        <v>46033</v>
      </c>
      <c r="C744" t="n">
        <v>506</v>
      </c>
      <c r="D744">
        <f>IF(C744="","",IF(C744=0,"",10000000/C744))</f>
        <v/>
      </c>
      <c r="E744">
        <f>IF(C744="","",C744/630)</f>
        <v/>
      </c>
    </row>
    <row r="745">
      <c r="B745" s="28" t="n">
        <v>46034</v>
      </c>
      <c r="C745" t="n">
        <v>515</v>
      </c>
      <c r="D745">
        <f>IF(C745="","",IF(C745=0,"",10000000/C745))</f>
        <v/>
      </c>
      <c r="E745">
        <f>IF(C745="","",C745/630)</f>
        <v/>
      </c>
    </row>
    <row r="746">
      <c r="B746" s="28" t="n">
        <v>46035</v>
      </c>
      <c r="C746" t="n">
        <v>514</v>
      </c>
      <c r="D746">
        <f>IF(C746="","",IF(C746=0,"",10000000/C746))</f>
        <v/>
      </c>
      <c r="E746">
        <f>IF(C746="","",C746/630)</f>
        <v/>
      </c>
    </row>
    <row r="747">
      <c r="B747" s="28" t="n">
        <v>46036</v>
      </c>
      <c r="C747" t="n">
        <v>511</v>
      </c>
      <c r="D747">
        <f>IF(C747="","",IF(C747=0,"",10000000/C747))</f>
        <v/>
      </c>
      <c r="E747">
        <f>IF(C747="","",C747/630)</f>
        <v/>
      </c>
    </row>
    <row r="748">
      <c r="B748" s="28" t="n">
        <v>46037</v>
      </c>
      <c r="C748" t="n">
        <v>511</v>
      </c>
      <c r="D748">
        <f>IF(C748="","",IF(C748=0,"",10000000/C748))</f>
        <v/>
      </c>
      <c r="E748">
        <f>IF(C748="","",C748/630)</f>
        <v/>
      </c>
    </row>
    <row r="749">
      <c r="B749" s="28" t="n">
        <v>46038</v>
      </c>
      <c r="C749" t="n">
        <v>510</v>
      </c>
      <c r="D749">
        <f>IF(C749="","",IF(C749=0,"",10000000/C749))</f>
        <v/>
      </c>
      <c r="E749">
        <f>IF(C749="","",C749/630)</f>
        <v/>
      </c>
    </row>
    <row r="750">
      <c r="B750" s="28" t="n">
        <v>46039</v>
      </c>
      <c r="C750" t="n">
        <v>510</v>
      </c>
      <c r="D750">
        <f>IF(C750="","",IF(C750=0,"",10000000/C750))</f>
        <v/>
      </c>
      <c r="E750">
        <f>IF(C750="","",C750/630)</f>
        <v/>
      </c>
    </row>
    <row r="751">
      <c r="B751" s="28" t="n">
        <v>46040</v>
      </c>
      <c r="C751" t="n">
        <v>512</v>
      </c>
      <c r="D751">
        <f>IF(C751="","",IF(C751=0,"",10000000/C751))</f>
        <v/>
      </c>
      <c r="E751">
        <f>IF(C751="","",C751/630)</f>
        <v/>
      </c>
    </row>
    <row r="752">
      <c r="B752" s="28" t="n">
        <v>46041</v>
      </c>
      <c r="C752" t="n">
        <v>512</v>
      </c>
      <c r="D752">
        <f>IF(C752="","",IF(C752=0,"",10000000/C752))</f>
        <v/>
      </c>
      <c r="E752">
        <f>IF(C752="","",C752/630)</f>
        <v/>
      </c>
    </row>
    <row r="753">
      <c r="B753" s="28" t="n">
        <v>46042</v>
      </c>
      <c r="C753" t="n">
        <v>511</v>
      </c>
      <c r="D753">
        <f>IF(C753="","",IF(C753=0,"",10000000/C753))</f>
        <v/>
      </c>
      <c r="E753">
        <f>IF(C753="","",C753/630)</f>
        <v/>
      </c>
    </row>
    <row r="754">
      <c r="B754" s="28" t="n">
        <v>46043</v>
      </c>
      <c r="C754" t="n">
        <v>509</v>
      </c>
      <c r="D754">
        <f>IF(C754="","",IF(C754=0,"",10000000/C754))</f>
        <v/>
      </c>
      <c r="E754">
        <f>IF(C754="","",C754/630)</f>
        <v/>
      </c>
    </row>
    <row r="755">
      <c r="B755" s="28" t="n">
        <v>46044</v>
      </c>
      <c r="C755" t="n">
        <v>515</v>
      </c>
      <c r="D755">
        <f>IF(C755="","",IF(C755=0,"",10000000/C755))</f>
        <v/>
      </c>
      <c r="E755">
        <f>IF(C755="","",C755/630)</f>
        <v/>
      </c>
    </row>
    <row r="756">
      <c r="B756" s="28" t="n">
        <v>46045</v>
      </c>
      <c r="C756" t="n">
        <v>515</v>
      </c>
      <c r="D756">
        <f>IF(C756="","",IF(C756=0,"",10000000/C756))</f>
        <v/>
      </c>
      <c r="E756">
        <f>IF(C756="","",C756/630)</f>
        <v/>
      </c>
    </row>
    <row r="757">
      <c r="B757" s="28" t="n">
        <v>46046</v>
      </c>
      <c r="C757" t="n">
        <v>515</v>
      </c>
      <c r="D757">
        <f>IF(C757="","",IF(C757=0,"",10000000/C757))</f>
        <v/>
      </c>
      <c r="E757">
        <f>IF(C757="","",C757/630)</f>
        <v/>
      </c>
    </row>
    <row r="758">
      <c r="B758" s="28" t="n">
        <v>46047</v>
      </c>
      <c r="C758" t="n">
        <v>513</v>
      </c>
      <c r="D758">
        <f>IF(C758="","",IF(C758=0,"",10000000/C758))</f>
        <v/>
      </c>
      <c r="E758">
        <f>IF(C758="","",C758/630)</f>
        <v/>
      </c>
    </row>
    <row r="759">
      <c r="B759" s="28" t="n">
        <v>46048</v>
      </c>
      <c r="C759" t="n">
        <v>516</v>
      </c>
      <c r="D759">
        <f>IF(C759="","",IF(C759=0,"",10000000/C759))</f>
        <v/>
      </c>
      <c r="E759">
        <f>IF(C759="","",C759/630)</f>
        <v/>
      </c>
    </row>
    <row r="760">
      <c r="B760" s="28" t="n">
        <v>46049</v>
      </c>
      <c r="C760" t="n">
        <v>515</v>
      </c>
      <c r="D760">
        <f>IF(C760="","",IF(C760=0,"",10000000/C760))</f>
        <v/>
      </c>
      <c r="E760">
        <f>IF(C760="","",C760/630)</f>
        <v/>
      </c>
    </row>
    <row r="761">
      <c r="B761" s="28" t="n">
        <v>46050</v>
      </c>
      <c r="C761" t="n">
        <v>508</v>
      </c>
      <c r="D761">
        <f>IF(C761="","",IF(C761=0,"",10000000/C761))</f>
        <v/>
      </c>
      <c r="E761">
        <f>IF(C761="","",C761/630)</f>
        <v/>
      </c>
    </row>
    <row r="762">
      <c r="B762" s="28" t="n">
        <v>46051</v>
      </c>
      <c r="C762" t="n">
        <v>505</v>
      </c>
      <c r="D762">
        <f>IF(C762="","",IF(C762=0,"",10000000/C762))</f>
        <v/>
      </c>
      <c r="E762">
        <f>IF(C762="","",C762/630)</f>
        <v/>
      </c>
    </row>
    <row r="763">
      <c r="B763" s="28" t="n">
        <v>46052</v>
      </c>
      <c r="C763" t="n">
        <v>512</v>
      </c>
      <c r="D763">
        <f>IF(C763="","",IF(C763=0,"",10000000/C763))</f>
        <v/>
      </c>
      <c r="E763">
        <f>IF(C763="","",C763/630)</f>
        <v/>
      </c>
    </row>
    <row r="764">
      <c r="B764" s="28" t="n">
        <v>46053</v>
      </c>
      <c r="C764" t="n">
        <v>508</v>
      </c>
      <c r="D764">
        <f>IF(C764="","",IF(C764=0,"",10000000/C764))</f>
        <v/>
      </c>
      <c r="E764">
        <f>IF(C764="","",C764/630)</f>
        <v/>
      </c>
    </row>
    <row r="765">
      <c r="B765" s="28" t="n">
        <v>46054</v>
      </c>
      <c r="C765" t="n">
        <v>511</v>
      </c>
      <c r="D765">
        <f>IF(C765="","",IF(C765=0,"",10000000/C765))</f>
        <v/>
      </c>
      <c r="E765">
        <f>IF(C765="","",C765/630)</f>
        <v/>
      </c>
    </row>
    <row r="766">
      <c r="B766" s="28" t="n">
        <v>46055</v>
      </c>
      <c r="C766" t="n">
        <v>509</v>
      </c>
      <c r="D766">
        <f>IF(C766="","",IF(C766=0,"",10000000/C766))</f>
        <v/>
      </c>
      <c r="E766">
        <f>IF(C766="","",C766/630)</f>
        <v/>
      </c>
    </row>
    <row r="767">
      <c r="B767" s="28" t="n">
        <v>46056</v>
      </c>
      <c r="C767" t="n">
        <v>509</v>
      </c>
      <c r="D767">
        <f>IF(C767="","",IF(C767=0,"",10000000/C767))</f>
        <v/>
      </c>
      <c r="E767">
        <f>IF(C767="","",C767/630)</f>
        <v/>
      </c>
    </row>
    <row r="768">
      <c r="B768" s="28" t="n">
        <v>46057</v>
      </c>
      <c r="C768" t="n">
        <v>504</v>
      </c>
      <c r="D768">
        <f>IF(C768="","",IF(C768=0,"",10000000/C768))</f>
        <v/>
      </c>
      <c r="E768">
        <f>IF(C768="","",C768/630)</f>
        <v/>
      </c>
    </row>
    <row r="769">
      <c r="B769" s="28" t="n">
        <v>46058</v>
      </c>
      <c r="C769" t="n">
        <v>498</v>
      </c>
      <c r="D769">
        <f>IF(C769="","",IF(C769=0,"",10000000/C769))</f>
        <v/>
      </c>
      <c r="E769">
        <f>IF(C769="","",C769/630)</f>
        <v/>
      </c>
    </row>
    <row r="770">
      <c r="B770" s="28" t="n">
        <v>46059</v>
      </c>
      <c r="C770" t="n">
        <v>495</v>
      </c>
      <c r="D770">
        <f>IF(C770="","",IF(C770=0,"",10000000/C770))</f>
        <v/>
      </c>
      <c r="E770">
        <f>IF(C770="","",C770/630)</f>
        <v/>
      </c>
    </row>
    <row r="771">
      <c r="B771" s="28" t="n">
        <v>46060</v>
      </c>
      <c r="C771" t="n">
        <v>495</v>
      </c>
      <c r="D771">
        <f>IF(C771="","",IF(C771=0,"",10000000/C771))</f>
        <v/>
      </c>
      <c r="E771">
        <f>IF(C771="","",C771/630)</f>
        <v/>
      </c>
    </row>
    <row r="772">
      <c r="B772" s="28" t="n">
        <v>46061</v>
      </c>
      <c r="C772" t="n">
        <v>496</v>
      </c>
      <c r="D772">
        <f>IF(C772="","",IF(C772=0,"",10000000/C772))</f>
        <v/>
      </c>
      <c r="E772">
        <f>IF(C772="","",C772/630)</f>
        <v/>
      </c>
    </row>
    <row r="773">
      <c r="B773" s="28" t="n">
        <v>46062</v>
      </c>
      <c r="C773" t="n">
        <v>496</v>
      </c>
      <c r="D773">
        <f>IF(C773="","",IF(C773=0,"",10000000/C773))</f>
        <v/>
      </c>
      <c r="E773">
        <f>IF(C773="","",C773/630)</f>
        <v/>
      </c>
    </row>
    <row r="774">
      <c r="B774" s="28" t="n">
        <v>46063</v>
      </c>
      <c r="C774" t="n">
        <v>498</v>
      </c>
      <c r="D774">
        <f>IF(C774="","",IF(C774=0,"",10000000/C774))</f>
        <v/>
      </c>
      <c r="E774">
        <f>IF(C774="","",C774/630)</f>
        <v/>
      </c>
    </row>
    <row r="775">
      <c r="B775" s="28" t="n">
        <v>46064</v>
      </c>
      <c r="C775" t="n">
        <v>497</v>
      </c>
      <c r="D775">
        <f>IF(C775="","",IF(C775=0,"",10000000/C775))</f>
        <v/>
      </c>
      <c r="E775">
        <f>IF(C775="","",C775/630)</f>
        <v/>
      </c>
    </row>
    <row r="776">
      <c r="B776" s="28" t="n">
        <v>46065</v>
      </c>
      <c r="C776" t="n">
        <v>304</v>
      </c>
      <c r="D776">
        <f>IF(C776="","",IF(C776=0,"",10000000/C776))</f>
        <v/>
      </c>
      <c r="E776">
        <f>IF(C776="","",C776/630)</f>
        <v/>
      </c>
    </row>
    <row r="777">
      <c r="B777" s="28" t="n">
        <v>46066</v>
      </c>
      <c r="C777" t="n">
        <v>300</v>
      </c>
      <c r="D777">
        <f>IF(C777="","",IF(C777=0,"",10000000/C777))</f>
        <v/>
      </c>
      <c r="E777">
        <f>IF(C777="","",C777/630)</f>
        <v/>
      </c>
    </row>
    <row r="778">
      <c r="B778" s="28" t="n">
        <v>46067</v>
      </c>
      <c r="C778" t="n">
        <v>264</v>
      </c>
      <c r="D778">
        <f>IF(C778="","",IF(C778=0,"",10000000/C778))</f>
        <v/>
      </c>
      <c r="E778">
        <f>IF(C778="","",C778/630)</f>
        <v/>
      </c>
    </row>
    <row r="779">
      <c r="B779" s="28" t="n">
        <v>46068</v>
      </c>
      <c r="C779" t="n">
        <v>268</v>
      </c>
      <c r="D779">
        <f>IF(C779="","",IF(C779=0,"",10000000/C779))</f>
        <v/>
      </c>
      <c r="E779">
        <f>IF(C779="","",C779/630)</f>
        <v/>
      </c>
    </row>
    <row r="780">
      <c r="B780" s="28" t="n">
        <v>46069</v>
      </c>
      <c r="C780" t="n">
        <v>268</v>
      </c>
      <c r="D780">
        <f>IF(C780="","",IF(C780=0,"",10000000/C780))</f>
        <v/>
      </c>
      <c r="E780">
        <f>IF(C780="","",C780/630)</f>
        <v/>
      </c>
    </row>
    <row r="781">
      <c r="B781" s="28" t="n">
        <v>46070</v>
      </c>
      <c r="C781" t="n">
        <v>267</v>
      </c>
      <c r="D781">
        <f>IF(C781="","",IF(C781=0,"",10000000/C781))</f>
        <v/>
      </c>
      <c r="E781">
        <f>IF(C781="","",C781/630)</f>
        <v/>
      </c>
    </row>
    <row r="782">
      <c r="B782" s="28" t="n">
        <v>46071</v>
      </c>
      <c r="C782" t="n">
        <v>271</v>
      </c>
      <c r="D782">
        <f>IF(C782="","",IF(C782=0,"",10000000/C782))</f>
        <v/>
      </c>
      <c r="E782">
        <f>IF(C782="","",C782/630)</f>
        <v/>
      </c>
    </row>
    <row r="783">
      <c r="B783" s="28" t="n">
        <v>46072</v>
      </c>
      <c r="C783" t="n">
        <v>272</v>
      </c>
      <c r="D783">
        <f>IF(C783="","",IF(C783=0,"",10000000/C783))</f>
        <v/>
      </c>
      <c r="E783">
        <f>IF(C783="","",C783/630)</f>
        <v/>
      </c>
    </row>
    <row r="784">
      <c r="B784" s="28" t="n">
        <v>46073</v>
      </c>
      <c r="C784" t="n">
        <v>275</v>
      </c>
      <c r="D784">
        <f>IF(C784="","",IF(C784=0,"",10000000/C784))</f>
        <v/>
      </c>
      <c r="E784">
        <f>IF(C784="","",C784/630)</f>
        <v/>
      </c>
    </row>
    <row r="785">
      <c r="B785" s="28" t="n">
        <v>46074</v>
      </c>
      <c r="C785" t="n">
        <v>275</v>
      </c>
      <c r="D785">
        <f>IF(C785="","",IF(C785=0,"",10000000/C785))</f>
        <v/>
      </c>
      <c r="E785">
        <f>IF(C785="","",C785/630)</f>
        <v/>
      </c>
    </row>
    <row r="786">
      <c r="B786" s="28" t="n">
        <v>46075</v>
      </c>
      <c r="C786" t="n">
        <v>274</v>
      </c>
      <c r="D786">
        <f>IF(C786="","",IF(C786=0,"",10000000/C786))</f>
        <v/>
      </c>
      <c r="E786">
        <f>IF(C786="","",C786/630)</f>
        <v/>
      </c>
    </row>
    <row r="787">
      <c r="B787" s="28" t="n">
        <v>46076</v>
      </c>
      <c r="C787" t="n">
        <v>273</v>
      </c>
      <c r="D787">
        <f>IF(C787="","",IF(C787=0,"",10000000/C787))</f>
        <v/>
      </c>
      <c r="E787">
        <f>IF(C787="","",C787/630)</f>
        <v/>
      </c>
    </row>
    <row r="788">
      <c r="B788" s="28" t="n">
        <v>46077</v>
      </c>
      <c r="C788" t="n">
        <v>273</v>
      </c>
      <c r="D788">
        <f>IF(C788="","",IF(C788=0,"",10000000/C788))</f>
        <v/>
      </c>
      <c r="E788">
        <f>IF(C788="","",C788/630)</f>
        <v/>
      </c>
    </row>
    <row r="789">
      <c r="B789" s="28" t="n">
        <v>46078</v>
      </c>
      <c r="C789" t="n">
        <v>274</v>
      </c>
      <c r="D789">
        <f>IF(C789="","",IF(C789=0,"",10000000/C789))</f>
        <v/>
      </c>
      <c r="E789">
        <f>IF(C789="","",C789/630)</f>
        <v/>
      </c>
    </row>
    <row r="790">
      <c r="B790" s="28" t="n">
        <v>46079</v>
      </c>
      <c r="C790" t="n">
        <v>270</v>
      </c>
      <c r="D790">
        <f>IF(C790="","",IF(C790=0,"",10000000/C790))</f>
        <v/>
      </c>
      <c r="E790">
        <f>IF(C790="","",C790/630)</f>
        <v/>
      </c>
    </row>
    <row r="791">
      <c r="B791" s="28" t="n">
        <v>46080</v>
      </c>
      <c r="C791" t="n">
        <v>274</v>
      </c>
      <c r="D791">
        <f>IF(C791="","",IF(C791=0,"",10000000/C791))</f>
        <v/>
      </c>
      <c r="E791">
        <f>IF(C791="","",C791/630)</f>
        <v/>
      </c>
    </row>
    <row r="792">
      <c r="B792" s="28" t="n">
        <v>46081</v>
      </c>
      <c r="C792" t="n">
        <v>277</v>
      </c>
      <c r="D792">
        <f>IF(C792="","",IF(C792=0,"",10000000/C792))</f>
        <v/>
      </c>
      <c r="E792">
        <f>IF(C792="","",C792/630)</f>
        <v/>
      </c>
    </row>
    <row r="793">
      <c r="B793" s="28" t="n">
        <v>46082</v>
      </c>
      <c r="C793" t="n">
        <v>282</v>
      </c>
      <c r="D793">
        <f>IF(C793="","",IF(C793=0,"",10000000/C793))</f>
        <v/>
      </c>
      <c r="E793">
        <f>IF(C793="","",C793/630)</f>
        <v/>
      </c>
    </row>
    <row r="794">
      <c r="B794" s="28" t="n">
        <v>46083</v>
      </c>
      <c r="C794" t="n">
        <v>286</v>
      </c>
      <c r="D794">
        <f>IF(C794="","",IF(C794=0,"",10000000/C794))</f>
        <v/>
      </c>
      <c r="E794">
        <f>IF(C794="","",C794/630)</f>
        <v/>
      </c>
    </row>
    <row r="795">
      <c r="B795" s="28" t="n">
        <v>46084</v>
      </c>
      <c r="C795" t="n">
        <v>286</v>
      </c>
      <c r="D795">
        <f>IF(C795="","",IF(C795=0,"",10000000/C795))</f>
        <v/>
      </c>
      <c r="E795">
        <f>IF(C795="","",C795/630)</f>
        <v/>
      </c>
    </row>
    <row r="796">
      <c r="B796" s="28" t="n">
        <v>46085</v>
      </c>
      <c r="C796" t="n">
        <v>286</v>
      </c>
      <c r="D796">
        <f>IF(C796="","",IF(C796=0,"",10000000/C796))</f>
        <v/>
      </c>
      <c r="E796">
        <f>IF(C796="","",C796/630)</f>
        <v/>
      </c>
    </row>
    <row r="797">
      <c r="B797" s="28" t="n">
        <v>46086</v>
      </c>
      <c r="C797" t="n">
        <v>285</v>
      </c>
      <c r="D797">
        <f>IF(C797="","",IF(C797=0,"",10000000/C797))</f>
        <v/>
      </c>
      <c r="E797">
        <f>IF(C797="","",C797/630)</f>
        <v/>
      </c>
    </row>
    <row r="798">
      <c r="B798" s="28" t="n">
        <v>46087</v>
      </c>
      <c r="C798" t="n">
        <v>287</v>
      </c>
      <c r="D798">
        <f>IF(C798="","",IF(C798=0,"",10000000/C798))</f>
        <v/>
      </c>
      <c r="E798">
        <f>IF(C798="","",C798/630)</f>
        <v/>
      </c>
    </row>
    <row r="799">
      <c r="B799" s="28" t="n">
        <v>46088</v>
      </c>
      <c r="C799" t="n">
        <v>287</v>
      </c>
      <c r="D799">
        <f>IF(C799="","",IF(C799=0,"",10000000/C799))</f>
        <v/>
      </c>
      <c r="E799">
        <f>IF(C799="","",C799/630)</f>
        <v/>
      </c>
    </row>
    <row r="800">
      <c r="B800" s="28" t="n">
        <v>46089</v>
      </c>
      <c r="C800" t="n">
        <v>283</v>
      </c>
      <c r="D800">
        <f>IF(C800="","",IF(C800=0,"",10000000/C800))</f>
        <v/>
      </c>
      <c r="E800">
        <f>IF(C800="","",C800/630)</f>
        <v/>
      </c>
    </row>
    <row r="801">
      <c r="B801" s="28" t="n">
        <v>46090</v>
      </c>
      <c r="C801" t="n">
        <v>283</v>
      </c>
      <c r="D801">
        <f>IF(C801="","",IF(C801=0,"",10000000/C801))</f>
        <v/>
      </c>
      <c r="E801">
        <f>IF(C801="","",C801/630)</f>
        <v/>
      </c>
    </row>
    <row r="802">
      <c r="B802" s="28" t="n">
        <v>46091</v>
      </c>
      <c r="C802" t="n">
        <v>285</v>
      </c>
      <c r="D802">
        <f>IF(C802="","",IF(C802=0,"",10000000/C802))</f>
        <v/>
      </c>
      <c r="E802">
        <f>IF(C802="","",C802/630)</f>
        <v/>
      </c>
    </row>
    <row r="803">
      <c r="B803" s="28" t="n">
        <v>46092</v>
      </c>
      <c r="C803" t="n">
        <v>285</v>
      </c>
      <c r="D803">
        <f>IF(C803="","",IF(C803=0,"",10000000/C803))</f>
        <v/>
      </c>
      <c r="E803">
        <f>IF(C803="","",C803/630)</f>
        <v/>
      </c>
    </row>
    <row r="804">
      <c r="B804" s="28" t="n">
        <v>46093</v>
      </c>
      <c r="C804" t="n">
        <v>284</v>
      </c>
      <c r="D804">
        <f>IF(C804="","",IF(C804=0,"",10000000/C804))</f>
        <v/>
      </c>
      <c r="E804">
        <f>IF(C804="","",C804/630)</f>
        <v/>
      </c>
    </row>
    <row r="805">
      <c r="B805" s="28" t="n">
        <v>46094</v>
      </c>
      <c r="C805" t="n">
        <v>283</v>
      </c>
      <c r="D805">
        <f>IF(C805="","",IF(C805=0,"",10000000/C805))</f>
        <v/>
      </c>
      <c r="E805">
        <f>IF(C805="","",C805/630)</f>
        <v/>
      </c>
    </row>
    <row r="806">
      <c r="B806" s="28" t="n">
        <v>46095</v>
      </c>
      <c r="C806" t="n">
        <v>283</v>
      </c>
      <c r="D806">
        <f>IF(C806="","",IF(C806=0,"",10000000/C806))</f>
        <v/>
      </c>
      <c r="E806">
        <f>IF(C806="","",C806/630)</f>
        <v/>
      </c>
    </row>
    <row r="807">
      <c r="B807" s="28" t="n">
        <v>46096</v>
      </c>
      <c r="C807" t="n">
        <v>283</v>
      </c>
      <c r="D807">
        <f>IF(C807="","",IF(C807=0,"",10000000/C807))</f>
        <v/>
      </c>
      <c r="E807">
        <f>IF(C807="","",C807/630)</f>
        <v/>
      </c>
    </row>
    <row r="808">
      <c r="B808" s="28" t="n">
        <v>46097</v>
      </c>
      <c r="C808" t="n">
        <v>282</v>
      </c>
      <c r="D808">
        <f>IF(C808="","",IF(C808=0,"",10000000/C808))</f>
        <v/>
      </c>
      <c r="E808">
        <f>IF(C808="","",C808/630)</f>
        <v/>
      </c>
    </row>
    <row r="809">
      <c r="B809" s="28" t="n">
        <v>46098</v>
      </c>
      <c r="C809" t="n">
        <v>283</v>
      </c>
      <c r="D809">
        <f>IF(C809="","",IF(C809=0,"",10000000/C809))</f>
        <v/>
      </c>
      <c r="E809">
        <f>IF(C809="","",C809/630)</f>
        <v/>
      </c>
    </row>
    <row r="810">
      <c r="B810" s="28" t="n">
        <v>46099</v>
      </c>
      <c r="C810" t="n">
        <v>284</v>
      </c>
      <c r="D810">
        <f>IF(C810="","",IF(C810=0,"",10000000/C810))</f>
        <v/>
      </c>
      <c r="E810">
        <f>IF(C810="","",C810/630)</f>
        <v/>
      </c>
    </row>
    <row r="811">
      <c r="B811" s="28" t="n">
        <v>46100</v>
      </c>
      <c r="C811" t="n">
        <v>284</v>
      </c>
      <c r="D811">
        <f>IF(C811="","",IF(C811=0,"",10000000/C811))</f>
        <v/>
      </c>
      <c r="E811">
        <f>IF(C811="","",C811/630)</f>
        <v/>
      </c>
    </row>
    <row r="812">
      <c r="B812" s="28" t="n">
        <v>46101</v>
      </c>
      <c r="C812" t="n">
        <v>283</v>
      </c>
      <c r="D812">
        <f>IF(C812="","",IF(C812=0,"",10000000/C812))</f>
        <v/>
      </c>
      <c r="E812">
        <f>IF(C812="","",C812/630)</f>
        <v/>
      </c>
    </row>
    <row r="813">
      <c r="B813" s="28" t="n">
        <v>46102</v>
      </c>
      <c r="C813" t="n">
        <v>283</v>
      </c>
      <c r="D813">
        <f>IF(C813="","",IF(C813=0,"",10000000/C813))</f>
        <v/>
      </c>
      <c r="E813">
        <f>IF(C813="","",C813/630)</f>
        <v/>
      </c>
    </row>
    <row r="814">
      <c r="B814" s="28" t="n">
        <v>46103</v>
      </c>
      <c r="C814" t="n">
        <v>283</v>
      </c>
      <c r="D814">
        <f>IF(C814="","",IF(C814=0,"",10000000/C814))</f>
        <v/>
      </c>
      <c r="E814">
        <f>IF(C814="","",C814/630)</f>
        <v/>
      </c>
    </row>
    <row r="815">
      <c r="B815" s="28" t="n">
        <v>46104</v>
      </c>
      <c r="C815" t="n">
        <v>285</v>
      </c>
      <c r="D815">
        <f>IF(C815="","",IF(C815=0,"",10000000/C815))</f>
        <v/>
      </c>
      <c r="E815">
        <f>IF(C815="","",C815/630)</f>
        <v/>
      </c>
    </row>
    <row r="816">
      <c r="B816" s="28" t="n">
        <v>46105</v>
      </c>
      <c r="C816" t="n">
        <v>286</v>
      </c>
      <c r="D816">
        <f>IF(C816="","",IF(C816=0,"",10000000/C816))</f>
        <v/>
      </c>
      <c r="E816">
        <f>IF(C816="","",C816/630)</f>
        <v/>
      </c>
    </row>
    <row r="817">
      <c r="B817" s="28" t="n">
        <v>46106</v>
      </c>
      <c r="C817" t="n">
        <v>288</v>
      </c>
      <c r="D817">
        <f>IF(C817="","",IF(C817=0,"",10000000/C817))</f>
        <v/>
      </c>
      <c r="E817">
        <f>IF(C817="","",C817/630)</f>
        <v/>
      </c>
    </row>
    <row r="818">
      <c r="B818" s="28" t="n">
        <v>46107</v>
      </c>
      <c r="C818" t="n">
        <v>290</v>
      </c>
      <c r="D818">
        <f>IF(C818="","",IF(C818=0,"",10000000/C818))</f>
        <v/>
      </c>
      <c r="E818">
        <f>IF(C818="","",C818/630)</f>
        <v/>
      </c>
    </row>
    <row r="819">
      <c r="B819" s="28" t="n">
        <v>46108</v>
      </c>
      <c r="C819" t="n">
        <v>290</v>
      </c>
      <c r="D819">
        <f>IF(C819="","",IF(C819=0,"",10000000/C819))</f>
        <v/>
      </c>
      <c r="E819">
        <f>IF(C819="","",C819/630)</f>
        <v/>
      </c>
    </row>
    <row r="820">
      <c r="B820" s="28" t="n">
        <v>46109</v>
      </c>
      <c r="C820" t="n">
        <v>290</v>
      </c>
      <c r="D820">
        <f>IF(C820="","",IF(C820=0,"",10000000/C820))</f>
        <v/>
      </c>
      <c r="E820">
        <f>IF(C820="","",C820/630)</f>
        <v/>
      </c>
    </row>
    <row r="821">
      <c r="B821" s="28" t="n">
        <v>46110</v>
      </c>
      <c r="C821" t="n">
        <v>289</v>
      </c>
      <c r="D821">
        <f>IF(C821="","",IF(C821=0,"",10000000/C821))</f>
        <v/>
      </c>
      <c r="E821">
        <f>IF(C821="","",C821/630)</f>
        <v/>
      </c>
    </row>
    <row r="822">
      <c r="B822" s="28" t="n">
        <v>46111</v>
      </c>
      <c r="C822" t="n">
        <v>288</v>
      </c>
      <c r="D822">
        <f>IF(C822="","",IF(C822=0,"",10000000/C822))</f>
        <v/>
      </c>
      <c r="E822">
        <f>IF(C822="","",C822/630)</f>
        <v/>
      </c>
    </row>
    <row r="823">
      <c r="B823" s="28" t="n">
        <v>46112</v>
      </c>
      <c r="C823" t="n">
        <v>285</v>
      </c>
      <c r="D823">
        <f>IF(C823="","",IF(C823=0,"",10000000/C823))</f>
        <v/>
      </c>
      <c r="E823">
        <f>IF(C823="","",C823/630)</f>
        <v/>
      </c>
    </row>
    <row r="824">
      <c r="B824" s="28" t="n">
        <v>46113</v>
      </c>
      <c r="C824" t="n">
        <v>288</v>
      </c>
      <c r="D824">
        <f>IF(C824="","",IF(C824=0,"",10000000/C824))</f>
        <v/>
      </c>
      <c r="E824">
        <f>IF(C824="","",C824/630)</f>
        <v/>
      </c>
    </row>
    <row r="825">
      <c r="B825" s="28" t="n">
        <v>46114</v>
      </c>
      <c r="C825" t="n">
        <v>289</v>
      </c>
      <c r="D825">
        <f>IF(C825="","",IF(C825=0,"",10000000/C825))</f>
        <v/>
      </c>
      <c r="E825">
        <f>IF(C825="","",C825/630)</f>
        <v/>
      </c>
    </row>
    <row r="826">
      <c r="B826" s="28" t="n">
        <v>46115</v>
      </c>
      <c r="C826" t="n">
        <v>289</v>
      </c>
      <c r="D826">
        <f>IF(C826="","",IF(C826=0,"",10000000/C826))</f>
        <v/>
      </c>
      <c r="E826">
        <f>IF(C826="","",C826/630)</f>
        <v/>
      </c>
    </row>
    <row r="827">
      <c r="B827" s="28" t="n">
        <v>46116</v>
      </c>
      <c r="C827" t="n">
        <v>289</v>
      </c>
      <c r="D827">
        <f>IF(C827="","",IF(C827=0,"",10000000/C827))</f>
        <v/>
      </c>
      <c r="E827">
        <f>IF(C827="","",C827/630)</f>
        <v/>
      </c>
    </row>
    <row r="828">
      <c r="B828" s="28" t="n">
        <v>46117</v>
      </c>
      <c r="C828" t="n">
        <v>289</v>
      </c>
      <c r="D828">
        <f>IF(C828="","",IF(C828=0,"",10000000/C828))</f>
        <v/>
      </c>
      <c r="E828">
        <f>IF(C828="","",C828/630)</f>
        <v/>
      </c>
    </row>
    <row r="829">
      <c r="B829" s="28" t="n">
        <v>46118</v>
      </c>
      <c r="C829" t="n">
        <v>288</v>
      </c>
      <c r="D829">
        <f>IF(C829="","",IF(C829=0,"",10000000/C829))</f>
        <v/>
      </c>
      <c r="E829">
        <f>IF(C829="","",C829/630)</f>
        <v/>
      </c>
    </row>
    <row r="830">
      <c r="B830" s="28" t="n">
        <v>46119</v>
      </c>
      <c r="C830" t="n">
        <v>282</v>
      </c>
      <c r="D830">
        <f>IF(C830="","",IF(C830=0,"",10000000/C830))</f>
        <v/>
      </c>
      <c r="E830">
        <f>IF(C830="","",C830/630)</f>
        <v/>
      </c>
    </row>
    <row r="831">
      <c r="B831" s="28" t="n">
        <v>46120</v>
      </c>
      <c r="C831" t="n">
        <v>278</v>
      </c>
      <c r="D831">
        <f>IF(C831="","",IF(C831=0,"",10000000/C831))</f>
        <v/>
      </c>
      <c r="E831">
        <f>IF(C831="","",C831/630)</f>
        <v/>
      </c>
    </row>
    <row r="832">
      <c r="B832" s="28" t="n">
        <v>46121</v>
      </c>
      <c r="C832" t="n">
        <v>282</v>
      </c>
      <c r="D832">
        <f>IF(C832="","",IF(C832=0,"",10000000/C832))</f>
        <v/>
      </c>
      <c r="E832">
        <f>IF(C832="","",C832/630)</f>
        <v/>
      </c>
    </row>
    <row r="833">
      <c r="B833" s="28" t="n">
        <v>46122</v>
      </c>
      <c r="C833" t="n">
        <v>284</v>
      </c>
      <c r="D833">
        <f>IF(C833="","",IF(C833=0,"",10000000/C833))</f>
        <v/>
      </c>
      <c r="E833">
        <f>IF(C833="","",C833/630)</f>
        <v/>
      </c>
    </row>
    <row r="834">
      <c r="B834" s="28" t="n">
        <v>46123</v>
      </c>
      <c r="C834" t="n">
        <v>284</v>
      </c>
      <c r="D834">
        <f>IF(C834="","",IF(C834=0,"",10000000/C834))</f>
        <v/>
      </c>
      <c r="E834">
        <f>IF(C834="","",C834/630)</f>
        <v/>
      </c>
    </row>
    <row r="835">
      <c r="B835" s="28" t="n">
        <v>46124</v>
      </c>
      <c r="C835" t="n">
        <v>283</v>
      </c>
      <c r="D835">
        <f>IF(C835="","",IF(C835=0,"",10000000/C835))</f>
        <v/>
      </c>
      <c r="E835">
        <f>IF(C835="","",C835/630)</f>
        <v/>
      </c>
    </row>
    <row r="836">
      <c r="B836" s="28" t="n">
        <v>46125</v>
      </c>
      <c r="C836" t="n">
        <v>281</v>
      </c>
      <c r="D836">
        <f>IF(C836="","",IF(C836=0,"",10000000/C836))</f>
        <v/>
      </c>
      <c r="E836">
        <f>IF(C836="","",C836/630)</f>
        <v/>
      </c>
    </row>
    <row r="837">
      <c r="B837" s="28" t="n">
        <v>46126</v>
      </c>
      <c r="C837" t="n">
        <v>288</v>
      </c>
      <c r="D837">
        <f>IF(C837="","",IF(C837=0,"",10000000/C837))</f>
        <v/>
      </c>
      <c r="E837">
        <f>IF(C837="","",C837/630)</f>
        <v/>
      </c>
    </row>
    <row r="838">
      <c r="B838" s="28" t="n">
        <v>46127</v>
      </c>
      <c r="C838" t="n">
        <v>290</v>
      </c>
      <c r="D838">
        <f>IF(C838="","",IF(C838=0,"",10000000/C838))</f>
        <v/>
      </c>
      <c r="E838">
        <f>IF(C838="","",C838/630)</f>
        <v/>
      </c>
    </row>
    <row r="839">
      <c r="B839" s="28" t="n">
        <v>46128</v>
      </c>
      <c r="C839" t="n">
        <v>291</v>
      </c>
      <c r="D839">
        <f>IF(C839="","",IF(C839=0,"",10000000/C839))</f>
        <v/>
      </c>
      <c r="E839">
        <f>IF(C839="","",C839/630)</f>
        <v/>
      </c>
    </row>
    <row r="840">
      <c r="B840" s="28" t="n">
        <v>46129</v>
      </c>
      <c r="C840" t="n">
        <v>281</v>
      </c>
      <c r="D840">
        <f>IF(C840="","",IF(C840=0,"",10000000/C840))</f>
        <v/>
      </c>
      <c r="E840">
        <f>IF(C840="","",C840/630)</f>
        <v/>
      </c>
    </row>
    <row r="841">
      <c r="B841" s="28" t="n">
        <v>46130</v>
      </c>
      <c r="C841" t="n">
        <v>281</v>
      </c>
      <c r="D841">
        <f>IF(C841="","",IF(C841=0,"",10000000/C841))</f>
        <v/>
      </c>
      <c r="E841">
        <f>IF(C841="","",C841/630)</f>
        <v/>
      </c>
    </row>
    <row r="842">
      <c r="B842" s="28" t="n">
        <v>46131</v>
      </c>
      <c r="C842" t="n">
        <v>283</v>
      </c>
      <c r="D842">
        <f>IF(C842="","",IF(C842=0,"",10000000/C842))</f>
        <v/>
      </c>
      <c r="E842">
        <f>IF(C842="","",C842/630)</f>
        <v/>
      </c>
    </row>
    <row r="843">
      <c r="B843" s="28" t="n">
        <v>46132</v>
      </c>
      <c r="C843" t="n">
        <v>277</v>
      </c>
      <c r="D843">
        <f>IF(C843="","",IF(C843=0,"",10000000/C843))</f>
        <v/>
      </c>
      <c r="E843">
        <f>IF(C843="","",C843/630)</f>
        <v/>
      </c>
    </row>
    <row r="844">
      <c r="B844" s="28" t="n">
        <v>46133</v>
      </c>
      <c r="C844" t="n">
        <v>271</v>
      </c>
      <c r="D844">
        <f>IF(C844="","",IF(C844=0,"",10000000/C844))</f>
        <v/>
      </c>
      <c r="E844">
        <f>IF(C844="","",C844/630)</f>
        <v/>
      </c>
    </row>
    <row r="845">
      <c r="B845" s="28" t="n">
        <v>46134</v>
      </c>
      <c r="C845" t="n">
        <v>262</v>
      </c>
      <c r="D845">
        <f>IF(C845="","",IF(C845=0,"",10000000/C845))</f>
        <v/>
      </c>
      <c r="E845">
        <f>IF(C845="","",C845/630)</f>
        <v/>
      </c>
    </row>
    <row r="846">
      <c r="B846" s="28" t="n">
        <v>46135</v>
      </c>
      <c r="C846" t="n">
        <v>264</v>
      </c>
      <c r="D846">
        <f>IF(C846="","",IF(C846=0,"",10000000/C846))</f>
        <v/>
      </c>
      <c r="E846">
        <f>IF(C846="","",C846/630)</f>
        <v/>
      </c>
    </row>
    <row r="847">
      <c r="B847" s="28" t="n">
        <v>46136</v>
      </c>
      <c r="C847" t="n">
        <v>263</v>
      </c>
      <c r="D847">
        <f>IF(C847="","",IF(C847=0,"",10000000/C847))</f>
        <v/>
      </c>
      <c r="E847">
        <f>IF(C847="","",C847/630)</f>
        <v/>
      </c>
    </row>
    <row r="848">
      <c r="B848" s="28" t="n">
        <v>46137</v>
      </c>
      <c r="C848" t="n">
        <v>263</v>
      </c>
      <c r="D848">
        <f>IF(C848="","",IF(C848=0,"",10000000/C848))</f>
        <v/>
      </c>
      <c r="E848">
        <f>IF(C848="","",C848/630)</f>
        <v/>
      </c>
    </row>
    <row r="849">
      <c r="B849" s="28" t="n">
        <v>46138</v>
      </c>
      <c r="C849" t="n">
        <v>269</v>
      </c>
      <c r="D849">
        <f>IF(C849="","",IF(C849=0,"",10000000/C849))</f>
        <v/>
      </c>
      <c r="E849">
        <f>IF(C849="","",C849/630)</f>
        <v/>
      </c>
    </row>
    <row r="850">
      <c r="B850" s="28" t="n">
        <v>46139</v>
      </c>
      <c r="C850" t="n">
        <v>269</v>
      </c>
      <c r="D850">
        <f>IF(C850="","",IF(C850=0,"",10000000/C850))</f>
        <v/>
      </c>
      <c r="E850">
        <f>IF(C850="","",C850/630)</f>
        <v/>
      </c>
    </row>
    <row r="851">
      <c r="B851" s="28" t="n">
        <v>46140</v>
      </c>
      <c r="C851" t="n">
        <v>266</v>
      </c>
      <c r="D851">
        <f>IF(C851="","",IF(C851=0,"",10000000/C851))</f>
        <v/>
      </c>
      <c r="E851">
        <f>IF(C851="","",C851/630)</f>
        <v/>
      </c>
    </row>
    <row r="852">
      <c r="B852" s="28" t="n">
        <v>46141</v>
      </c>
      <c r="C852" t="n">
        <v>268</v>
      </c>
      <c r="D852">
        <f>IF(C852="","",IF(C852=0,"",10000000/C852))</f>
        <v/>
      </c>
      <c r="E852">
        <f>IF(C852="","",C852/630)</f>
        <v/>
      </c>
    </row>
    <row r="853">
      <c r="B853" s="28" t="n">
        <v>46142</v>
      </c>
      <c r="C853" t="n">
        <v>271</v>
      </c>
      <c r="D853">
        <f>IF(C853="","",IF(C853=0,"",10000000/C853))</f>
        <v/>
      </c>
      <c r="E853">
        <f>IF(C853="","",C853/630)</f>
        <v/>
      </c>
    </row>
    <row r="854">
      <c r="B854" s="28" t="n">
        <v>46143</v>
      </c>
      <c r="C854" t="n">
        <v>275</v>
      </c>
      <c r="D854">
        <f>IF(C854="","",IF(C854=0,"",10000000/C854))</f>
        <v/>
      </c>
      <c r="E854">
        <f>IF(C854="","",C854/630)</f>
        <v/>
      </c>
    </row>
    <row r="855">
      <c r="B855" s="28" t="n">
        <v>46144</v>
      </c>
      <c r="C855" t="n">
        <v>275</v>
      </c>
      <c r="D855">
        <f>IF(C855="","",IF(C855=0,"",10000000/C855))</f>
        <v/>
      </c>
      <c r="E855">
        <f>IF(C855="","",C855/630)</f>
        <v/>
      </c>
    </row>
    <row r="856">
      <c r="B856" s="28" t="n">
        <v>46145</v>
      </c>
      <c r="C856" t="n">
        <v>277</v>
      </c>
      <c r="D856">
        <f>IF(C856="","",IF(C856=0,"",10000000/C856))</f>
        <v/>
      </c>
      <c r="E856">
        <f>IF(C856="","",C856/630)</f>
        <v/>
      </c>
    </row>
    <row r="857">
      <c r="B857" s="28" t="n">
        <v>46146</v>
      </c>
      <c r="C857" t="n">
        <v>279</v>
      </c>
      <c r="D857">
        <f>IF(C857="","",IF(C857=0,"",10000000/C857))</f>
        <v/>
      </c>
      <c r="E857">
        <f>IF(C857="","",C857/630)</f>
        <v/>
      </c>
    </row>
    <row r="858">
      <c r="B858" s="28" t="n">
        <v>46147</v>
      </c>
      <c r="C858" t="n">
        <v>277</v>
      </c>
      <c r="D858">
        <f>IF(C858="","",IF(C858=0,"",10000000/C858))</f>
        <v/>
      </c>
      <c r="E858">
        <f>IF(C858="","",C858/630)</f>
        <v/>
      </c>
    </row>
    <row r="859">
      <c r="B859" s="28" t="n">
        <v>46148</v>
      </c>
      <c r="C859" t="n">
        <v>276</v>
      </c>
      <c r="D859">
        <f>IF(C859="","",IF(C859=0,"",10000000/C859))</f>
        <v/>
      </c>
      <c r="E859">
        <f>IF(C859="","",C859/630)</f>
        <v/>
      </c>
    </row>
    <row r="860">
      <c r="B860" s="28" t="n">
        <v>46149</v>
      </c>
      <c r="C860" t="n">
        <v>272</v>
      </c>
      <c r="D860">
        <f>IF(C860="","",IF(C860=0,"",10000000/C860))</f>
        <v/>
      </c>
      <c r="E860">
        <f>IF(C860="","",C860/630)</f>
        <v/>
      </c>
    </row>
    <row r="861">
      <c r="B861" s="28" t="n">
        <v>46150</v>
      </c>
      <c r="C861" t="n">
        <v>273</v>
      </c>
      <c r="D861">
        <f>IF(C861="","",IF(C861=0,"",10000000/C861))</f>
        <v/>
      </c>
      <c r="E861">
        <f>IF(C861="","",C861/630)</f>
        <v/>
      </c>
    </row>
    <row r="862">
      <c r="B862" s="28" t="n">
        <v>46151</v>
      </c>
      <c r="C862" t="n">
        <v>273</v>
      </c>
      <c r="D862">
        <f>IF(C862="","",IF(C862=0,"",10000000/C862))</f>
        <v/>
      </c>
      <c r="E862">
        <f>IF(C862="","",C862/630)</f>
        <v/>
      </c>
    </row>
    <row r="863">
      <c r="B863" s="28" t="n">
        <v>46152</v>
      </c>
      <c r="C863" t="n">
        <v>272</v>
      </c>
      <c r="D863">
        <f>IF(C863="","",IF(C863=0,"",10000000/C863))</f>
        <v/>
      </c>
      <c r="E863">
        <f>IF(C863="","",C863/630)</f>
        <v/>
      </c>
    </row>
    <row r="864">
      <c r="B864" s="28" t="n">
        <v>46153</v>
      </c>
      <c r="C864" t="n">
        <v>269</v>
      </c>
      <c r="D864">
        <f>IF(C864="","",IF(C864=0,"",10000000/C864))</f>
        <v/>
      </c>
      <c r="E864">
        <f>IF(C864="","",C864/630)</f>
        <v/>
      </c>
    </row>
    <row r="865">
      <c r="B865" s="28" t="n">
        <v>46154</v>
      </c>
      <c r="C865" t="n">
        <v>267</v>
      </c>
      <c r="D865">
        <f>IF(C865="","",IF(C865=0,"",10000000/C865))</f>
        <v/>
      </c>
      <c r="E865">
        <f>IF(C865="","",C865/630)</f>
        <v/>
      </c>
    </row>
    <row r="866">
      <c r="B866" s="28" t="n">
        <v>46155</v>
      </c>
      <c r="C866" t="n">
        <v>262</v>
      </c>
      <c r="D866">
        <f>IF(C866="","",IF(C866=0,"",10000000/C866))</f>
        <v/>
      </c>
      <c r="E866">
        <f>IF(C866="","",C866/630)</f>
        <v/>
      </c>
    </row>
    <row r="867">
      <c r="B867" s="28" t="n">
        <v>46156</v>
      </c>
      <c r="C867" t="n">
        <v>259</v>
      </c>
      <c r="D867">
        <f>IF(C867="","",IF(C867=0,"",10000000/C867))</f>
        <v/>
      </c>
      <c r="E867">
        <f>IF(C867="","",C867/630)</f>
        <v/>
      </c>
    </row>
    <row r="868">
      <c r="B868" s="28" t="n">
        <v>46157</v>
      </c>
      <c r="C868" t="n">
        <v>262</v>
      </c>
      <c r="D868">
        <f>IF(C868="","",IF(C868=0,"",10000000/C868))</f>
        <v/>
      </c>
      <c r="E868">
        <f>IF(C868="","",C868/630)</f>
        <v/>
      </c>
    </row>
    <row r="869">
      <c r="B869" s="28" t="n">
        <v>46158</v>
      </c>
      <c r="C869" t="n">
        <v>262</v>
      </c>
      <c r="D869">
        <f>IF(C869="","",IF(C869=0,"",10000000/C869))</f>
        <v/>
      </c>
      <c r="E869">
        <f>IF(C869="","",C869/630)</f>
        <v/>
      </c>
    </row>
    <row r="870">
      <c r="B870" s="28" t="n">
        <v>46159</v>
      </c>
      <c r="C870" t="n">
        <v>262</v>
      </c>
      <c r="D870">
        <f>IF(C870="","",IF(C870=0,"",10000000/C870))</f>
        <v/>
      </c>
      <c r="E870">
        <f>IF(C870="","",C870/630)</f>
        <v/>
      </c>
    </row>
    <row r="871">
      <c r="B871" s="28" t="n">
        <v>46160</v>
      </c>
      <c r="C871" t="n">
        <v>259</v>
      </c>
      <c r="D871">
        <f>IF(C871="","",IF(C871=0,"",10000000/C871))</f>
        <v/>
      </c>
      <c r="E871">
        <f>IF(C871="","",C871/630)</f>
        <v/>
      </c>
    </row>
    <row r="872">
      <c r="B872" s="28" t="n">
        <v>46161</v>
      </c>
      <c r="C872" t="n">
        <v>259</v>
      </c>
      <c r="D872">
        <f>IF(C872="","",IF(C872=0,"",10000000/C872))</f>
        <v/>
      </c>
      <c r="E872">
        <f>IF(C872="","",C872/630)</f>
        <v/>
      </c>
    </row>
    <row r="873">
      <c r="B873" s="28" t="n">
        <v>46162</v>
      </c>
      <c r="C873" t="n">
        <v>260</v>
      </c>
      <c r="D873">
        <f>IF(C873="","",IF(C873=0,"",10000000/C873))</f>
        <v/>
      </c>
      <c r="E873">
        <f>IF(C873="","",C873/630)</f>
        <v/>
      </c>
    </row>
    <row r="874">
      <c r="B874" s="28" t="n">
        <v>46163</v>
      </c>
      <c r="C874" t="n">
        <v>261</v>
      </c>
      <c r="D874">
        <f>IF(C874="","",IF(C874=0,"",10000000/C874))</f>
        <v/>
      </c>
      <c r="E874">
        <f>IF(C874="","",C874/630)</f>
        <v/>
      </c>
    </row>
    <row r="875">
      <c r="B875" s="28" t="n">
        <v>46164</v>
      </c>
      <c r="C875" t="n">
        <v>260</v>
      </c>
      <c r="D875">
        <f>IF(C875="","",IF(C875=0,"",10000000/C875))</f>
        <v/>
      </c>
      <c r="E875">
        <f>IF(C875="","",C875/630)</f>
        <v/>
      </c>
    </row>
    <row r="876">
      <c r="B876" s="28" t="n">
        <v>46165</v>
      </c>
      <c r="C876" t="n">
        <v>260</v>
      </c>
      <c r="D876">
        <f>IF(C876="","",IF(C876=0,"",10000000/C876))</f>
        <v/>
      </c>
      <c r="E876">
        <f>IF(C876="","",C876/630)</f>
        <v/>
      </c>
    </row>
    <row r="877">
      <c r="B877" s="28" t="n">
        <v>46166</v>
      </c>
      <c r="C877" t="n">
        <v>259</v>
      </c>
      <c r="D877">
        <f>IF(C877="","",IF(C877=0,"",10000000/C877))</f>
        <v/>
      </c>
      <c r="E877">
        <f>IF(C877="","",C877/630)</f>
        <v/>
      </c>
    </row>
    <row r="878">
      <c r="B878" s="28" t="n">
        <v>46167</v>
      </c>
      <c r="C878" t="n">
        <v>258</v>
      </c>
      <c r="D878">
        <f>IF(C878="","",IF(C878=0,"",10000000/C878))</f>
        <v/>
      </c>
      <c r="E878">
        <f>IF(C878="","",C878/630)</f>
        <v/>
      </c>
    </row>
    <row r="879">
      <c r="B879" s="28" t="n">
        <v>46168</v>
      </c>
      <c r="C879" t="n">
        <v>257</v>
      </c>
      <c r="D879">
        <f>IF(C879="","",IF(C879=0,"",10000000/C879))</f>
        <v/>
      </c>
      <c r="E879">
        <f>IF(C879="","",C879/630)</f>
        <v/>
      </c>
    </row>
    <row r="880">
      <c r="B880" s="28" t="n">
        <v>46169</v>
      </c>
      <c r="C880" t="n">
        <v>257</v>
      </c>
      <c r="D880">
        <f>IF(C880="","",IF(C880=0,"",10000000/C880))</f>
        <v/>
      </c>
      <c r="E880">
        <f>IF(C880="","",C880/630)</f>
        <v/>
      </c>
    </row>
    <row r="881">
      <c r="B881" s="28" t="n">
        <v>46170</v>
      </c>
      <c r="C881" t="n">
        <v>255</v>
      </c>
      <c r="D881">
        <f>IF(C881="","",IF(C881=0,"",10000000/C881))</f>
        <v/>
      </c>
      <c r="E881">
        <f>IF(C881="","",C881/630)</f>
        <v/>
      </c>
    </row>
    <row r="882">
      <c r="B882" s="28" t="n">
        <v>46171</v>
      </c>
      <c r="C882" t="n">
        <v>256</v>
      </c>
      <c r="D882">
        <f>IF(C882="","",IF(C882=0,"",10000000/C882))</f>
        <v/>
      </c>
      <c r="E882">
        <f>IF(C882="","",C882/630)</f>
        <v/>
      </c>
    </row>
    <row r="883">
      <c r="B883" s="28" t="n">
        <v>46172</v>
      </c>
      <c r="C883" t="n">
        <v>256</v>
      </c>
      <c r="D883">
        <f>IF(C883="","",IF(C883=0,"",10000000/C883))</f>
        <v/>
      </c>
      <c r="E883">
        <f>IF(C883="","",C883/630)</f>
        <v/>
      </c>
    </row>
    <row r="884">
      <c r="B884" s="28" t="n">
        <v>46173</v>
      </c>
      <c r="C884" t="n">
        <v>250</v>
      </c>
      <c r="D884">
        <f>IF(C884="","",IF(C884=0,"",10000000/C884))</f>
        <v/>
      </c>
      <c r="E884">
        <f>IF(C884="","",C884/630)</f>
        <v/>
      </c>
    </row>
    <row r="885">
      <c r="B885" s="28" t="n">
        <v>46174</v>
      </c>
      <c r="C885" t="n">
        <v>254</v>
      </c>
      <c r="D885">
        <f>IF(C885="","",IF(C885=0,"",10000000/C885))</f>
        <v/>
      </c>
      <c r="E885">
        <f>IF(C885="","",C885/630)</f>
        <v/>
      </c>
    </row>
    <row r="886">
      <c r="B886" s="28" t="n">
        <v>46175</v>
      </c>
      <c r="C886" t="n">
        <v>257</v>
      </c>
      <c r="D886">
        <f>IF(C886="","",IF(C886=0,"",10000000/C886))</f>
        <v/>
      </c>
      <c r="E886">
        <f>IF(C886="","",C886/630)</f>
        <v/>
      </c>
    </row>
    <row r="887">
      <c r="B887" s="28" t="n">
        <v>46176</v>
      </c>
      <c r="C887" t="n">
        <v>257</v>
      </c>
      <c r="D887">
        <f>IF(C887="","",IF(C887=0,"",10000000/C887))</f>
        <v/>
      </c>
      <c r="E887">
        <f>IF(C887="","",C887/630)</f>
        <v/>
      </c>
    </row>
    <row r="888">
      <c r="B888" s="28" t="n">
        <v>46177</v>
      </c>
      <c r="C888" t="n">
        <v>254</v>
      </c>
      <c r="D888">
        <f>IF(C888="","",IF(C888=0,"",10000000/C888))</f>
        <v/>
      </c>
      <c r="E888">
        <f>IF(C888="","",C888/630)</f>
        <v/>
      </c>
    </row>
    <row r="889">
      <c r="B889" s="28" t="n">
        <v>46178</v>
      </c>
      <c r="C889" t="n">
        <v>252</v>
      </c>
      <c r="D889">
        <f>IF(C889="","",IF(C889=0,"",10000000/C889))</f>
        <v/>
      </c>
      <c r="E889">
        <f>IF(C889="","",C889/630)</f>
        <v/>
      </c>
    </row>
    <row r="890">
      <c r="B890" s="28" t="n">
        <v>46179</v>
      </c>
      <c r="C890" t="n">
        <v>252</v>
      </c>
      <c r="D890">
        <f>IF(C890="","",IF(C890=0,"",10000000/C890))</f>
        <v/>
      </c>
      <c r="E890">
        <f>IF(C890="","",C890/630)</f>
        <v/>
      </c>
    </row>
    <row r="891">
      <c r="B891" s="28" t="n">
        <v>46180</v>
      </c>
      <c r="C891" t="n">
        <v>251</v>
      </c>
      <c r="D891">
        <f>IF(C891="","",IF(C891=0,"",10000000/C891))</f>
        <v/>
      </c>
      <c r="E891">
        <f>IF(C891="","",C891/630)</f>
        <v/>
      </c>
    </row>
    <row r="892">
      <c r="B892" s="28" t="n">
        <v>46181</v>
      </c>
      <c r="C892" t="n">
        <v>248</v>
      </c>
      <c r="D892">
        <f>IF(C892="","",IF(C892=0,"",10000000/C892))</f>
        <v/>
      </c>
      <c r="E892">
        <f>IF(C892="","",C892/630)</f>
        <v/>
      </c>
    </row>
    <row r="893">
      <c r="B893" s="28" t="n">
        <v>46182</v>
      </c>
      <c r="C893" t="n">
        <v>245</v>
      </c>
      <c r="D893">
        <f>IF(C893="","",IF(C893=0,"",10000000/C893))</f>
        <v/>
      </c>
      <c r="E893">
        <f>IF(C893="","",C893/630)</f>
        <v/>
      </c>
    </row>
    <row r="894">
      <c r="B894" s="28" t="n">
        <v>46183</v>
      </c>
      <c r="C894" t="n">
        <v>246</v>
      </c>
      <c r="D894">
        <f>IF(C894="","",IF(C894=0,"",10000000/C894))</f>
        <v/>
      </c>
      <c r="E894">
        <f>IF(C894="","",C894/630)</f>
        <v/>
      </c>
    </row>
    <row r="895">
      <c r="B895" s="28" t="n">
        <v>46184</v>
      </c>
      <c r="C895" t="n">
        <v>247</v>
      </c>
      <c r="D895">
        <f>IF(C895="","",IF(C895=0,"",10000000/C895))</f>
        <v/>
      </c>
      <c r="E895">
        <f>IF(C895="","",C895/630)</f>
        <v/>
      </c>
    </row>
    <row r="896">
      <c r="B896" s="28" t="n">
        <v>46185</v>
      </c>
      <c r="C896" t="n">
        <v>252</v>
      </c>
      <c r="D896">
        <f>IF(C896="","",IF(C896=0,"",10000000/C896))</f>
        <v/>
      </c>
      <c r="E896">
        <f>IF(C896="","",C896/630)</f>
        <v/>
      </c>
    </row>
    <row r="897">
      <c r="B897" s="28" t="n">
        <v>46186</v>
      </c>
      <c r="C897" t="n">
        <v>252</v>
      </c>
      <c r="D897">
        <f>IF(C897="","",IF(C897=0,"",10000000/C897))</f>
        <v/>
      </c>
      <c r="E897">
        <f>IF(C897="","",C897/630)</f>
        <v/>
      </c>
    </row>
    <row r="898">
      <c r="B898" s="28" t="n">
        <v>46187</v>
      </c>
      <c r="C898" t="n">
        <v>250</v>
      </c>
      <c r="D898">
        <f>IF(C898="","",IF(C898=0,"",10000000/C898))</f>
        <v/>
      </c>
      <c r="E898">
        <f>IF(C898="","",C898/630)</f>
        <v/>
      </c>
    </row>
    <row r="899">
      <c r="B899" s="28" t="n">
        <v>46188</v>
      </c>
      <c r="C899" t="n">
        <v>240</v>
      </c>
      <c r="D899">
        <f>IF(C899="","",IF(C899=0,"",10000000/C899))</f>
        <v/>
      </c>
      <c r="E899">
        <f>IF(C899="","",C899/630)</f>
        <v/>
      </c>
    </row>
    <row r="900">
      <c r="B900" s="28" t="n">
        <v>46189</v>
      </c>
      <c r="C900" t="n">
        <v>189</v>
      </c>
      <c r="D900">
        <f>IF(C900="","",IF(C900=0,"",10000000/C900))</f>
        <v/>
      </c>
      <c r="E900">
        <f>IF(C900="","",C900/630)</f>
        <v/>
      </c>
    </row>
    <row r="901">
      <c r="B901" s="28" t="n">
        <v>46190</v>
      </c>
      <c r="C901" t="n">
        <v>0</v>
      </c>
      <c r="D901">
        <f>IF(C901="","",IF(C901=0,"",10000000/C901))</f>
        <v/>
      </c>
      <c r="E901">
        <f>IF(C901="","",C901/630)</f>
        <v/>
      </c>
    </row>
  </sheetData>
  <mergeCells count="2">
    <mergeCell ref="H2:I2"/>
    <mergeCell ref="B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DRAWDOWN EPISODES (daily NAV, peak -&gt; trough -&gt; recovery)</t>
        </is>
      </c>
    </row>
    <row r="2">
      <c r="A2" t="inlineStr">
        <is>
          <t>peak_date</t>
        </is>
      </c>
      <c r="B2" t="inlineStr">
        <is>
          <t>trough_date</t>
        </is>
      </c>
      <c r="C2" t="inlineStr">
        <is>
          <t>depth_%</t>
        </is>
      </c>
      <c r="D2" t="inlineStr">
        <is>
          <t>peak_to_trough_days</t>
        </is>
      </c>
      <c r="E2" t="inlineStr">
        <is>
          <t>recovery_days</t>
        </is>
      </c>
      <c r="F2" t="inlineStr">
        <is>
          <t>status</t>
        </is>
      </c>
    </row>
    <row r="3">
      <c r="A3" t="inlineStr">
        <is>
          <t>2025-02-19</t>
        </is>
      </c>
      <c r="B3" t="inlineStr">
        <is>
          <t>2025-04-08</t>
        </is>
      </c>
      <c r="C3" t="n">
        <v>-13.26</v>
      </c>
      <c r="D3" t="n">
        <v>48</v>
      </c>
      <c r="E3" t="n">
        <v>35</v>
      </c>
      <c r="F3" t="inlineStr">
        <is>
          <t>recovered</t>
        </is>
      </c>
    </row>
    <row r="4">
      <c r="A4" t="inlineStr">
        <is>
          <t>2026-01-12</t>
        </is>
      </c>
      <c r="B4" t="inlineStr">
        <is>
          <t>2026-03-30</t>
        </is>
      </c>
      <c r="C4" t="n">
        <v>-8.970000000000001</v>
      </c>
      <c r="D4" t="n">
        <v>77</v>
      </c>
      <c r="E4" t="inlineStr">
        <is>
          <t>not yet</t>
        </is>
      </c>
      <c r="F4" t="inlineStr">
        <is>
          <t>OPEN</t>
        </is>
      </c>
    </row>
    <row r="5">
      <c r="A5" t="inlineStr">
        <is>
          <t>2024-07-16</t>
        </is>
      </c>
      <c r="B5" t="inlineStr">
        <is>
          <t>2024-08-07</t>
        </is>
      </c>
      <c r="C5" t="n">
        <v>-5.55</v>
      </c>
      <c r="D5" t="n">
        <v>22</v>
      </c>
      <c r="E5" t="n">
        <v>9</v>
      </c>
      <c r="F5" t="inlineStr">
        <is>
          <t>recovered</t>
        </is>
      </c>
    </row>
    <row r="6">
      <c r="A6" t="inlineStr">
        <is>
          <t>2025-07-23</t>
        </is>
      </c>
      <c r="B6" t="inlineStr">
        <is>
          <t>2025-08-02</t>
        </is>
      </c>
      <c r="C6" t="n">
        <v>-3.05</v>
      </c>
      <c r="D6" t="n">
        <v>10</v>
      </c>
      <c r="E6" t="n">
        <v>20</v>
      </c>
      <c r="F6" t="inlineStr">
        <is>
          <t>recovered</t>
        </is>
      </c>
    </row>
    <row r="7">
      <c r="A7" t="inlineStr">
        <is>
          <t>2024-12-09</t>
        </is>
      </c>
      <c r="B7" t="inlineStr">
        <is>
          <t>2025-01-13</t>
        </is>
      </c>
      <c r="C7" t="n">
        <v>-2.95</v>
      </c>
      <c r="D7" t="n">
        <v>35</v>
      </c>
      <c r="E7" t="n">
        <v>10</v>
      </c>
      <c r="F7" t="inlineStr">
        <is>
          <t>recovered</t>
        </is>
      </c>
    </row>
    <row r="8">
      <c r="A8" t="inlineStr">
        <is>
          <t>2024-08-24</t>
        </is>
      </c>
      <c r="B8" t="inlineStr">
        <is>
          <t>2024-09-06</t>
        </is>
      </c>
      <c r="C8" t="n">
        <v>-2.91</v>
      </c>
      <c r="D8" t="n">
        <v>13</v>
      </c>
      <c r="E8" t="n">
        <v>13</v>
      </c>
      <c r="F8" t="inlineStr">
        <is>
          <t>recovered</t>
        </is>
      </c>
    </row>
    <row r="9">
      <c r="A9" t="inlineStr">
        <is>
          <t>2025-11-12</t>
        </is>
      </c>
      <c r="B9" t="inlineStr">
        <is>
          <t>2025-11-20</t>
        </is>
      </c>
      <c r="C9" t="n">
        <v>-2.68</v>
      </c>
      <c r="D9" t="n">
        <v>8</v>
      </c>
      <c r="E9" t="n">
        <v>8</v>
      </c>
      <c r="F9" t="inlineStr">
        <is>
          <t>recovered</t>
        </is>
      </c>
    </row>
    <row r="10">
      <c r="A10" t="inlineStr">
        <is>
          <t>2024-10-14</t>
        </is>
      </c>
      <c r="B10" t="inlineStr">
        <is>
          <t>2024-11-04</t>
        </is>
      </c>
      <c r="C10" t="n">
        <v>-2.07</v>
      </c>
      <c r="D10" t="n">
        <v>21</v>
      </c>
      <c r="E10" t="n">
        <v>21</v>
      </c>
      <c r="F10" t="inlineStr">
        <is>
          <t>recovered</t>
        </is>
      </c>
    </row>
    <row r="11">
      <c r="A11" t="inlineStr">
        <is>
          <t>2024-03-28</t>
        </is>
      </c>
      <c r="B11" t="inlineStr">
        <is>
          <t>2024-04-18</t>
        </is>
      </c>
      <c r="C11" t="n">
        <v>-2.07</v>
      </c>
      <c r="D11" t="n">
        <v>21</v>
      </c>
      <c r="E11" t="n">
        <v>25</v>
      </c>
      <c r="F11" t="inlineStr">
        <is>
          <t>recovered</t>
        </is>
      </c>
    </row>
    <row r="12">
      <c r="A12" t="inlineStr">
        <is>
          <t>2025-10-27</t>
        </is>
      </c>
      <c r="B12" t="inlineStr">
        <is>
          <t>2025-11-06</t>
        </is>
      </c>
      <c r="C12" t="n">
        <v>-1.74</v>
      </c>
      <c r="D12" t="n">
        <v>10</v>
      </c>
      <c r="E12" t="n">
        <v>6</v>
      </c>
      <c r="F12" t="inlineStr">
        <is>
          <t>recovered</t>
        </is>
      </c>
    </row>
    <row r="13">
      <c r="A13" t="inlineStr">
        <is>
          <t>2025-10-08</t>
        </is>
      </c>
      <c r="B13" t="inlineStr">
        <is>
          <t>2025-10-11</t>
        </is>
      </c>
      <c r="C13" t="n">
        <v>-1.73</v>
      </c>
      <c r="D13" t="n">
        <v>3</v>
      </c>
      <c r="E13" t="n">
        <v>15</v>
      </c>
      <c r="F13" t="inlineStr">
        <is>
          <t>recovered</t>
        </is>
      </c>
    </row>
    <row r="14">
      <c r="A14" t="inlineStr">
        <is>
          <t>2025-12-07</t>
        </is>
      </c>
      <c r="B14" t="inlineStr">
        <is>
          <t>2025-12-17</t>
        </is>
      </c>
      <c r="C14" t="n">
        <v>-1.4</v>
      </c>
      <c r="D14" t="n">
        <v>10</v>
      </c>
      <c r="E14" t="n">
        <v>6</v>
      </c>
      <c r="F14" t="inlineStr">
        <is>
          <t>recovered</t>
        </is>
      </c>
    </row>
    <row r="15">
      <c r="A15" t="inlineStr">
        <is>
          <t>2025-09-20</t>
        </is>
      </c>
      <c r="B15" t="inlineStr">
        <is>
          <t>2025-09-27</t>
        </is>
      </c>
      <c r="C15" t="n">
        <v>-1.38</v>
      </c>
      <c r="D15" t="n">
        <v>7</v>
      </c>
      <c r="E15" t="n">
        <v>4</v>
      </c>
      <c r="F15" t="inlineStr">
        <is>
          <t>recovered</t>
        </is>
      </c>
    </row>
    <row r="16">
      <c r="A16" t="inlineStr">
        <is>
          <t>2024-05-20</t>
        </is>
      </c>
      <c r="B16" t="inlineStr">
        <is>
          <t>2024-05-30</t>
        </is>
      </c>
      <c r="C16" t="n">
        <v>-1.22</v>
      </c>
      <c r="D16" t="n">
        <v>10</v>
      </c>
      <c r="E16" t="n">
        <v>6</v>
      </c>
      <c r="F16" t="inlineStr">
        <is>
          <t>recovered</t>
        </is>
      </c>
    </row>
    <row r="17">
      <c r="A17" t="inlineStr">
        <is>
          <t>2025-06-12</t>
        </is>
      </c>
      <c r="B17" t="inlineStr">
        <is>
          <t>2025-06-22</t>
        </is>
      </c>
      <c r="C17" t="n">
        <v>-1.17</v>
      </c>
      <c r="D17" t="n">
        <v>10</v>
      </c>
      <c r="E17" t="n">
        <v>5</v>
      </c>
      <c r="F17" t="inlineStr">
        <is>
          <t>recovered</t>
        </is>
      </c>
    </row>
    <row r="18">
      <c r="A18" t="inlineStr">
        <is>
          <t>2025-01-30</t>
        </is>
      </c>
      <c r="B18" t="inlineStr">
        <is>
          <t>2025-02-03</t>
        </is>
      </c>
      <c r="C18" t="n">
        <v>-1.16</v>
      </c>
      <c r="D18" t="n">
        <v>4</v>
      </c>
      <c r="E18" t="n">
        <v>7</v>
      </c>
      <c r="F18" t="inlineStr">
        <is>
          <t>recovered</t>
        </is>
      </c>
    </row>
    <row r="19">
      <c r="A19" t="inlineStr">
        <is>
          <t>2025-05-20</t>
        </is>
      </c>
      <c r="B19" t="inlineStr">
        <is>
          <t>2025-05-23</t>
        </is>
      </c>
      <c r="C19" t="n">
        <v>-1.05</v>
      </c>
      <c r="D19" t="n">
        <v>3</v>
      </c>
      <c r="E19" t="n">
        <v>4</v>
      </c>
      <c r="F19" t="inlineStr">
        <is>
          <t>recovered</t>
        </is>
      </c>
    </row>
    <row r="20">
      <c r="A20" t="inlineStr">
        <is>
          <t>2024-03-12</t>
        </is>
      </c>
      <c r="B20" t="inlineStr">
        <is>
          <t>2024-03-19</t>
        </is>
      </c>
      <c r="C20" t="n">
        <v>-1.04</v>
      </c>
      <c r="D20" t="n">
        <v>7</v>
      </c>
      <c r="E20" t="n">
        <v>8</v>
      </c>
      <c r="F20" t="inlineStr">
        <is>
          <t>recovered</t>
        </is>
      </c>
    </row>
    <row r="21">
      <c r="A21" t="inlineStr">
        <is>
          <t>2024-01-11</t>
        </is>
      </c>
      <c r="B21" t="inlineStr">
        <is>
          <t>2024-01-14</t>
        </is>
      </c>
      <c r="C21" t="n">
        <v>-0.9</v>
      </c>
      <c r="D21" t="n">
        <v>3</v>
      </c>
      <c r="E21" t="n">
        <v>12</v>
      </c>
      <c r="F21" t="inlineStr">
        <is>
          <t>recovered</t>
        </is>
      </c>
    </row>
    <row r="22">
      <c r="A22" t="inlineStr">
        <is>
          <t>2024-02-12</t>
        </is>
      </c>
      <c r="B22" t="inlineStr">
        <is>
          <t>2024-02-13</t>
        </is>
      </c>
      <c r="C22" t="n">
        <v>-0.88</v>
      </c>
      <c r="D22" t="n">
        <v>1</v>
      </c>
      <c r="E22" t="n">
        <v>1</v>
      </c>
      <c r="F22" t="inlineStr">
        <is>
          <t>recovered</t>
        </is>
      </c>
    </row>
    <row r="23">
      <c r="A23" t="inlineStr">
        <is>
          <t>2025-07-06</t>
        </is>
      </c>
      <c r="B23" t="inlineStr">
        <is>
          <t>2025-07-15</t>
        </is>
      </c>
      <c r="C23" t="n">
        <v>-0.79</v>
      </c>
      <c r="D23" t="n">
        <v>9</v>
      </c>
      <c r="E23" t="n">
        <v>7</v>
      </c>
      <c r="F23" t="inlineStr">
        <is>
          <t>recovered</t>
        </is>
      </c>
    </row>
    <row r="24">
      <c r="A24" t="inlineStr">
        <is>
          <t>2024-01-03</t>
        </is>
      </c>
      <c r="B24" t="inlineStr">
        <is>
          <t>2024-01-04</t>
        </is>
      </c>
      <c r="C24" t="n">
        <v>-0.59</v>
      </c>
      <c r="D24" t="n">
        <v>1</v>
      </c>
      <c r="E24" t="n">
        <v>4</v>
      </c>
      <c r="F24" t="inlineStr">
        <is>
          <t>recovered</t>
        </is>
      </c>
    </row>
    <row r="25">
      <c r="A25" t="inlineStr">
        <is>
          <t>2024-02-19</t>
        </is>
      </c>
      <c r="B25" t="inlineStr">
        <is>
          <t>2024-02-21</t>
        </is>
      </c>
      <c r="C25" t="n">
        <v>-0.59</v>
      </c>
      <c r="D25" t="n">
        <v>2</v>
      </c>
      <c r="E25" t="n">
        <v>1</v>
      </c>
      <c r="F25" t="inlineStr">
        <is>
          <t>recovered</t>
        </is>
      </c>
    </row>
    <row r="26">
      <c r="A26" t="inlineStr">
        <is>
          <t>2024-08-19</t>
        </is>
      </c>
      <c r="B26" t="inlineStr">
        <is>
          <t>2024-08-22</t>
        </is>
      </c>
      <c r="C26" t="n">
        <v>-0.5600000000000001</v>
      </c>
      <c r="D26" t="n">
        <v>3</v>
      </c>
      <c r="E26" t="n">
        <v>1</v>
      </c>
      <c r="F26" t="inlineStr">
        <is>
          <t>recovered</t>
        </is>
      </c>
    </row>
    <row r="27">
      <c r="A27" t="inlineStr">
        <is>
          <t>2026-01-06</t>
        </is>
      </c>
      <c r="B27" t="inlineStr">
        <is>
          <t>2026-01-07</t>
        </is>
      </c>
      <c r="C27" t="n">
        <v>-0.55</v>
      </c>
      <c r="D27" t="n">
        <v>1</v>
      </c>
      <c r="E27" t="n">
        <v>2</v>
      </c>
      <c r="F27" t="inlineStr">
        <is>
          <t>recovered</t>
        </is>
      </c>
    </row>
    <row r="28">
      <c r="A28" t="inlineStr">
        <is>
          <t>2025-12-28</t>
        </is>
      </c>
      <c r="B28" t="inlineStr">
        <is>
          <t>2025-12-31</t>
        </is>
      </c>
      <c r="C28" t="n">
        <v>-0.52</v>
      </c>
      <c r="D28" t="n">
        <v>3</v>
      </c>
      <c r="E28" t="n">
        <v>2</v>
      </c>
      <c r="F28" t="inlineStr">
        <is>
          <t>recovered</t>
        </is>
      </c>
    </row>
    <row r="29">
      <c r="A29" t="inlineStr">
        <is>
          <t>2025-01-25</t>
        </is>
      </c>
      <c r="B29" t="inlineStr">
        <is>
          <t>2025-01-27</t>
        </is>
      </c>
      <c r="C29" t="n">
        <v>-0.48</v>
      </c>
      <c r="D29" t="n">
        <v>2</v>
      </c>
      <c r="E29" t="n">
        <v>3</v>
      </c>
      <c r="F29" t="inlineStr">
        <is>
          <t>recovered</t>
        </is>
      </c>
    </row>
    <row r="30">
      <c r="A30" t="inlineStr">
        <is>
          <t>2025-05-27</t>
        </is>
      </c>
      <c r="B30" t="inlineStr">
        <is>
          <t>2025-05-28</t>
        </is>
      </c>
      <c r="C30" t="n">
        <v>-0.43</v>
      </c>
      <c r="D30" t="n">
        <v>1</v>
      </c>
      <c r="E30" t="n">
        <v>5</v>
      </c>
      <c r="F30" t="inlineStr">
        <is>
          <t>recovered</t>
        </is>
      </c>
    </row>
    <row r="31">
      <c r="A31" t="inlineStr">
        <is>
          <t>2024-09-19</t>
        </is>
      </c>
      <c r="B31" t="inlineStr">
        <is>
          <t>2024-09-20</t>
        </is>
      </c>
      <c r="C31" t="n">
        <v>-0.42</v>
      </c>
      <c r="D31" t="n">
        <v>1</v>
      </c>
      <c r="E31" t="n">
        <v>4</v>
      </c>
      <c r="F31" t="inlineStr">
        <is>
          <t>recovered</t>
        </is>
      </c>
    </row>
    <row r="32">
      <c r="A32" t="inlineStr">
        <is>
          <t>2025-08-22</t>
        </is>
      </c>
      <c r="B32" t="inlineStr">
        <is>
          <t>2025-08-28</t>
        </is>
      </c>
      <c r="C32" t="n">
        <v>-0.42</v>
      </c>
      <c r="D32" t="n">
        <v>6</v>
      </c>
      <c r="E32" t="n">
        <v>7</v>
      </c>
      <c r="F32" t="inlineStr">
        <is>
          <t>recovered</t>
        </is>
      </c>
    </row>
    <row r="33">
      <c r="A33" t="inlineStr">
        <is>
          <t>2024-03-04</t>
        </is>
      </c>
      <c r="B33" t="inlineStr">
        <is>
          <t>2024-03-05</t>
        </is>
      </c>
      <c r="C33" t="n">
        <v>-0.42</v>
      </c>
      <c r="D33" t="n">
        <v>1</v>
      </c>
      <c r="E33" t="n">
        <v>1</v>
      </c>
      <c r="F33" t="inlineStr">
        <is>
          <t>recovered</t>
        </is>
      </c>
    </row>
    <row r="34">
      <c r="A34" t="inlineStr">
        <is>
          <t>2025-11-28</t>
        </is>
      </c>
      <c r="B34" t="inlineStr">
        <is>
          <t>2025-12-01</t>
        </is>
      </c>
      <c r="C34" t="n">
        <v>-0.4</v>
      </c>
      <c r="D34" t="n">
        <v>3</v>
      </c>
      <c r="E34" t="n">
        <v>2</v>
      </c>
      <c r="F34" t="inlineStr">
        <is>
          <t>recovered</t>
        </is>
      </c>
    </row>
    <row r="35">
      <c r="A35" t="inlineStr">
        <is>
          <t>2024-06-06</t>
        </is>
      </c>
      <c r="B35" t="inlineStr">
        <is>
          <t>2024-06-11</t>
        </is>
      </c>
      <c r="C35" t="n">
        <v>-0.38</v>
      </c>
      <c r="D35" t="n">
        <v>5</v>
      </c>
      <c r="E35" t="n">
        <v>9</v>
      </c>
      <c r="F35" t="inlineStr">
        <is>
          <t>recovered</t>
        </is>
      </c>
    </row>
    <row r="36">
      <c r="A36" t="inlineStr">
        <is>
          <t>2024-09-27</t>
        </is>
      </c>
      <c r="B36" t="inlineStr">
        <is>
          <t>2024-10-01</t>
        </is>
      </c>
      <c r="C36" t="n">
        <v>-0.38</v>
      </c>
      <c r="D36" t="n">
        <v>4</v>
      </c>
      <c r="E36" t="n">
        <v>3</v>
      </c>
      <c r="F36" t="inlineStr">
        <is>
          <t>recovered</t>
        </is>
      </c>
    </row>
    <row r="37">
      <c r="A37" t="inlineStr">
        <is>
          <t>2025-02-10</t>
        </is>
      </c>
      <c r="B37" t="inlineStr">
        <is>
          <t>2025-02-11</t>
        </is>
      </c>
      <c r="C37" t="n">
        <v>-0.34</v>
      </c>
      <c r="D37" t="n">
        <v>1</v>
      </c>
      <c r="E37" t="n">
        <v>6</v>
      </c>
      <c r="F37" t="inlineStr">
        <is>
          <t>recovered</t>
        </is>
      </c>
    </row>
    <row r="38">
      <c r="A38" t="inlineStr">
        <is>
          <t>2024-01-29</t>
        </is>
      </c>
      <c r="B38" t="inlineStr">
        <is>
          <t>2024-01-31</t>
        </is>
      </c>
      <c r="C38" t="n">
        <v>-0.3</v>
      </c>
      <c r="D38" t="n">
        <v>2</v>
      </c>
      <c r="E38" t="n">
        <v>2</v>
      </c>
      <c r="F38" t="inlineStr">
        <is>
          <t>recovered</t>
        </is>
      </c>
    </row>
    <row r="39">
      <c r="A39" t="inlineStr">
        <is>
          <t>2025-10-06</t>
        </is>
      </c>
      <c r="B39" t="inlineStr">
        <is>
          <t>2025-10-07</t>
        </is>
      </c>
      <c r="C39" t="n">
        <v>-0.3</v>
      </c>
      <c r="D39" t="n">
        <v>1</v>
      </c>
      <c r="E39" t="n">
        <v>1</v>
      </c>
      <c r="F39" t="inlineStr">
        <is>
          <t>recovered</t>
        </is>
      </c>
    </row>
    <row r="40">
      <c r="A40" t="inlineStr">
        <is>
          <t>2024-09-24</t>
        </is>
      </c>
      <c r="B40" t="inlineStr">
        <is>
          <t>2024-09-25</t>
        </is>
      </c>
      <c r="C40" t="n">
        <v>-0.28</v>
      </c>
      <c r="D40" t="n">
        <v>1</v>
      </c>
      <c r="E40" t="n">
        <v>1</v>
      </c>
      <c r="F40" t="inlineStr">
        <is>
          <t>recovered</t>
        </is>
      </c>
    </row>
    <row r="41">
      <c r="A41" t="inlineStr">
        <is>
          <t>2024-11-27</t>
        </is>
      </c>
      <c r="B41" t="inlineStr">
        <is>
          <t>2024-11-28</t>
        </is>
      </c>
      <c r="C41" t="n">
        <v>-0.19</v>
      </c>
      <c r="D41" t="n">
        <v>1</v>
      </c>
      <c r="E41" t="n">
        <v>1</v>
      </c>
      <c r="F41" t="inlineStr">
        <is>
          <t>recovered</t>
        </is>
      </c>
    </row>
    <row r="42">
      <c r="A42" t="inlineStr">
        <is>
          <t>2024-06-26</t>
        </is>
      </c>
      <c r="B42" t="inlineStr">
        <is>
          <t>2024-06-28</t>
        </is>
      </c>
      <c r="C42" t="n">
        <v>-0.19</v>
      </c>
      <c r="D42" t="n">
        <v>2</v>
      </c>
      <c r="E42" t="n">
        <v>4</v>
      </c>
      <c r="F42" t="inlineStr">
        <is>
          <t>recovered</t>
        </is>
      </c>
    </row>
    <row r="43">
      <c r="A43" t="inlineStr">
        <is>
          <t>2024-01-08</t>
        </is>
      </c>
      <c r="B43" t="inlineStr">
        <is>
          <t>2024-01-09</t>
        </is>
      </c>
      <c r="C43" t="n">
        <v>-0.17</v>
      </c>
      <c r="D43" t="n">
        <v>1</v>
      </c>
      <c r="E43" t="n">
        <v>1</v>
      </c>
      <c r="F43" t="inlineStr">
        <is>
          <t>recovered</t>
        </is>
      </c>
    </row>
    <row r="44">
      <c r="A44" t="inlineStr">
        <is>
          <t>2024-10-06</t>
        </is>
      </c>
      <c r="B44" t="inlineStr">
        <is>
          <t>2024-10-08</t>
        </is>
      </c>
      <c r="C44" t="n">
        <v>-0.17</v>
      </c>
      <c r="D44" t="n">
        <v>2</v>
      </c>
      <c r="E44" t="n">
        <v>1</v>
      </c>
      <c r="F44" t="inlineStr">
        <is>
          <t>recovered</t>
        </is>
      </c>
    </row>
    <row r="45">
      <c r="A45" t="inlineStr">
        <is>
          <t>2024-07-06</t>
        </is>
      </c>
      <c r="B45" t="inlineStr">
        <is>
          <t>2024-07-08</t>
        </is>
      </c>
      <c r="C45" t="n">
        <v>-0.11</v>
      </c>
      <c r="D45" t="n">
        <v>2</v>
      </c>
      <c r="E45" t="n">
        <v>1</v>
      </c>
      <c r="F45" t="inlineStr">
        <is>
          <t>recovered</t>
        </is>
      </c>
    </row>
    <row r="46">
      <c r="A46" t="inlineStr">
        <is>
          <t>2024-02-02</t>
        </is>
      </c>
      <c r="B46" t="inlineStr">
        <is>
          <t>2024-02-05</t>
        </is>
      </c>
      <c r="C46" t="n">
        <v>-0.11</v>
      </c>
      <c r="D46" t="n">
        <v>3</v>
      </c>
      <c r="E46" t="n">
        <v>1</v>
      </c>
      <c r="F46" t="inlineStr">
        <is>
          <t>recovered</t>
        </is>
      </c>
    </row>
    <row r="47">
      <c r="A47" t="inlineStr">
        <is>
          <t>2025-09-11</t>
        </is>
      </c>
      <c r="B47" t="inlineStr">
        <is>
          <t>2025-09-14</t>
        </is>
      </c>
      <c r="C47" t="n">
        <v>-0.1</v>
      </c>
      <c r="D47" t="n">
        <v>3</v>
      </c>
      <c r="E47" t="n">
        <v>1</v>
      </c>
      <c r="F47" t="inlineStr">
        <is>
          <t>recovered</t>
        </is>
      </c>
    </row>
    <row r="48">
      <c r="A48" t="inlineStr">
        <is>
          <t>2025-09-04</t>
        </is>
      </c>
      <c r="B48" t="inlineStr">
        <is>
          <t>2025-09-06</t>
        </is>
      </c>
      <c r="C48" t="n">
        <v>-0.1</v>
      </c>
      <c r="D48" t="n">
        <v>2</v>
      </c>
      <c r="E48" t="n">
        <v>2</v>
      </c>
      <c r="F48" t="inlineStr">
        <is>
          <t>recovered</t>
        </is>
      </c>
    </row>
    <row r="49">
      <c r="A49" t="inlineStr">
        <is>
          <t>2024-07-03</t>
        </is>
      </c>
      <c r="B49" t="inlineStr">
        <is>
          <t>2024-07-04</t>
        </is>
      </c>
      <c r="C49" t="n">
        <v>-0.1</v>
      </c>
      <c r="D49" t="n">
        <v>1</v>
      </c>
      <c r="E49" t="n">
        <v>1</v>
      </c>
      <c r="F49" t="inlineStr">
        <is>
          <t>recovered</t>
        </is>
      </c>
    </row>
    <row r="50">
      <c r="A50" t="inlineStr">
        <is>
          <t>2024-02-22</t>
        </is>
      </c>
      <c r="B50" t="inlineStr">
        <is>
          <t>2024-02-23</t>
        </is>
      </c>
      <c r="C50" t="n">
        <v>-0.09</v>
      </c>
      <c r="D50" t="n">
        <v>1</v>
      </c>
      <c r="E50" t="n">
        <v>3</v>
      </c>
      <c r="F50" t="inlineStr">
        <is>
          <t>recovered</t>
        </is>
      </c>
    </row>
    <row r="51">
      <c r="A51" t="inlineStr">
        <is>
          <t>2024-06-20</t>
        </is>
      </c>
      <c r="B51" t="inlineStr">
        <is>
          <t>2024-06-23</t>
        </is>
      </c>
      <c r="C51" t="n">
        <v>-0.09</v>
      </c>
      <c r="D51" t="n">
        <v>3</v>
      </c>
      <c r="E51" t="n">
        <v>1</v>
      </c>
      <c r="F51" t="inlineStr">
        <is>
          <t>recovered</t>
        </is>
      </c>
    </row>
    <row r="52">
      <c r="A52" t="inlineStr">
        <is>
          <t>2025-06-04</t>
        </is>
      </c>
      <c r="B52" t="inlineStr">
        <is>
          <t>2025-06-05</t>
        </is>
      </c>
      <c r="C52" t="n">
        <v>-0.09</v>
      </c>
      <c r="D52" t="n">
        <v>1</v>
      </c>
      <c r="E52" t="n">
        <v>1</v>
      </c>
      <c r="F52" t="inlineStr">
        <is>
          <t>recovered</t>
        </is>
      </c>
    </row>
    <row r="53">
      <c r="A53" t="inlineStr">
        <is>
          <t>2024-12-03</t>
        </is>
      </c>
      <c r="B53" t="inlineStr">
        <is>
          <t>2024-12-05</t>
        </is>
      </c>
      <c r="C53" t="n">
        <v>-0.08</v>
      </c>
      <c r="D53" t="n">
        <v>2</v>
      </c>
      <c r="E53" t="n">
        <v>1</v>
      </c>
      <c r="F53" t="inlineStr">
        <is>
          <t>recovered</t>
        </is>
      </c>
    </row>
    <row r="54">
      <c r="A54" t="inlineStr">
        <is>
          <t>2024-02-27</t>
        </is>
      </c>
      <c r="B54" t="inlineStr">
        <is>
          <t>2024-02-28</t>
        </is>
      </c>
      <c r="C54" t="n">
        <v>-0.05</v>
      </c>
      <c r="D54" t="n">
        <v>1</v>
      </c>
      <c r="E54" t="n">
        <v>1</v>
      </c>
      <c r="F54" t="inlineStr">
        <is>
          <t>recovered</t>
        </is>
      </c>
    </row>
    <row r="55">
      <c r="A55" t="inlineStr">
        <is>
          <t>2024-02-16</t>
        </is>
      </c>
      <c r="B55" t="inlineStr">
        <is>
          <t>2024-02-17</t>
        </is>
      </c>
      <c r="C55" t="n">
        <v>-0.04</v>
      </c>
      <c r="D55" t="n">
        <v>1</v>
      </c>
      <c r="E55" t="n">
        <v>2</v>
      </c>
      <c r="F55" t="inlineStr">
        <is>
          <t>recovered</t>
        </is>
      </c>
    </row>
    <row r="56">
      <c r="A56" t="inlineStr">
        <is>
          <t>2024-10-09</t>
        </is>
      </c>
      <c r="B56" t="inlineStr">
        <is>
          <t>2024-10-10</t>
        </is>
      </c>
      <c r="C56" t="n">
        <v>-0.04</v>
      </c>
      <c r="D56" t="n">
        <v>1</v>
      </c>
      <c r="E56" t="n">
        <v>1</v>
      </c>
      <c r="F56" t="inlineStr">
        <is>
          <t>recovered</t>
        </is>
      </c>
    </row>
    <row r="57">
      <c r="A57" t="inlineStr">
        <is>
          <t>2024-11-25</t>
        </is>
      </c>
      <c r="B57" t="inlineStr">
        <is>
          <t>2024-11-26</t>
        </is>
      </c>
      <c r="C57" t="n">
        <v>-0.02</v>
      </c>
      <c r="D57" t="n">
        <v>1</v>
      </c>
      <c r="E57" t="n">
        <v>1</v>
      </c>
      <c r="F57" t="inlineStr">
        <is>
          <t>recovered</t>
        </is>
      </c>
    </row>
    <row r="58">
      <c r="A58" t="inlineStr">
        <is>
          <t>2024-03-07</t>
        </is>
      </c>
      <c r="B58" t="inlineStr">
        <is>
          <t>2024-03-08</t>
        </is>
      </c>
      <c r="C58" t="n">
        <v>-0.02</v>
      </c>
      <c r="D58" t="n">
        <v>1</v>
      </c>
      <c r="E58" t="n">
        <v>4</v>
      </c>
      <c r="F58" t="inlineStr">
        <is>
          <t>recovered</t>
        </is>
      </c>
    </row>
    <row r="59">
      <c r="A59" t="inlineStr">
        <is>
          <t>2024-02-07</t>
        </is>
      </c>
      <c r="B59" t="inlineStr">
        <is>
          <t>2024-02-08</t>
        </is>
      </c>
      <c r="C59" t="n">
        <v>-0.02</v>
      </c>
      <c r="D59" t="n">
        <v>1</v>
      </c>
      <c r="E59" t="n">
        <v>1</v>
      </c>
      <c r="F59" t="inlineStr">
        <is>
          <t>recovered</t>
        </is>
      </c>
    </row>
    <row r="60">
      <c r="A60" t="inlineStr">
        <is>
          <t>2024-01-27</t>
        </is>
      </c>
      <c r="B60" t="inlineStr">
        <is>
          <t>2024-01-28</t>
        </is>
      </c>
      <c r="C60" t="n">
        <v>-0.02</v>
      </c>
      <c r="D60" t="n">
        <v>1</v>
      </c>
      <c r="E60" t="n">
        <v>1</v>
      </c>
      <c r="F60" t="inlineStr">
        <is>
          <t>recovered</t>
        </is>
      </c>
    </row>
    <row r="61">
      <c r="A61" t="inlineStr">
        <is>
          <t>2024-05-18</t>
        </is>
      </c>
      <c r="B61" t="inlineStr">
        <is>
          <t>2024-05-19</t>
        </is>
      </c>
      <c r="C61" t="n">
        <v>-0.02</v>
      </c>
      <c r="D61" t="n">
        <v>1</v>
      </c>
      <c r="E61" t="n">
        <v>1</v>
      </c>
      <c r="F61" t="inlineStr">
        <is>
          <t>recovered</t>
        </is>
      </c>
    </row>
    <row r="62">
      <c r="A62" t="inlineStr">
        <is>
          <t>2025-12-24</t>
        </is>
      </c>
      <c r="B62" t="inlineStr">
        <is>
          <t>2025-12-25</t>
        </is>
      </c>
      <c r="C62" t="n">
        <v>-0.01</v>
      </c>
      <c r="D62" t="n">
        <v>1</v>
      </c>
      <c r="E62" t="n">
        <v>1</v>
      </c>
      <c r="F62" t="inlineStr">
        <is>
          <t>recovered</t>
        </is>
      </c>
    </row>
    <row r="63">
      <c r="A63" t="inlineStr">
        <is>
          <t>2024-06-24</t>
        </is>
      </c>
      <c r="B63" t="inlineStr">
        <is>
          <t>2024-06-25</t>
        </is>
      </c>
      <c r="C63" t="n">
        <v>-0.01</v>
      </c>
      <c r="D63" t="n">
        <v>1</v>
      </c>
      <c r="E63" t="n">
        <v>1</v>
      </c>
      <c r="F63" t="inlineStr">
        <is>
          <t>recovered</t>
        </is>
      </c>
    </row>
    <row r="64">
      <c r="A64" t="inlineStr">
        <is>
          <t>2024-08-17</t>
        </is>
      </c>
      <c r="B64" t="inlineStr">
        <is>
          <t>2024-08-18</t>
        </is>
      </c>
      <c r="C64" t="n">
        <v>-0.01</v>
      </c>
      <c r="D64" t="n">
        <v>1</v>
      </c>
      <c r="E64" t="n">
        <v>1</v>
      </c>
      <c r="F64" t="inlineStr">
        <is>
          <t>recovered</t>
        </is>
      </c>
    </row>
    <row r="65">
      <c r="A65" t="inlineStr">
        <is>
          <t>2024-03-01</t>
        </is>
      </c>
      <c r="B65" t="inlineStr">
        <is>
          <t>2024-03-02</t>
        </is>
      </c>
      <c r="C65" t="n">
        <v>-0.01</v>
      </c>
      <c r="D65" t="n">
        <v>1</v>
      </c>
      <c r="E65" t="n">
        <v>1</v>
      </c>
      <c r="F65" t="inlineStr">
        <is>
          <t>recovered</t>
        </is>
      </c>
    </row>
    <row r="66">
      <c r="A66" t="inlineStr">
        <is>
          <t>2025-05-16</t>
        </is>
      </c>
      <c r="B66" t="inlineStr">
        <is>
          <t>2025-05-17</t>
        </is>
      </c>
      <c r="C66" t="n">
        <v>-0.01</v>
      </c>
      <c r="D66" t="n">
        <v>1</v>
      </c>
      <c r="E66" t="n">
        <v>1</v>
      </c>
      <c r="F66" t="inlineStr">
        <is>
          <t>recovered</t>
        </is>
      </c>
    </row>
    <row r="67">
      <c r="A67" t="inlineStr">
        <is>
          <t>2024-11-29</t>
        </is>
      </c>
      <c r="B67" t="inlineStr">
        <is>
          <t>2024-11-30</t>
        </is>
      </c>
      <c r="C67" t="n">
        <v>-0.01</v>
      </c>
      <c r="D67" t="n">
        <v>1</v>
      </c>
      <c r="E67" t="n">
        <v>2</v>
      </c>
      <c r="F67" t="inlineStr">
        <is>
          <t>recovered</t>
        </is>
      </c>
    </row>
    <row r="68">
      <c r="A68" t="inlineStr">
        <is>
          <t>2024-10-12</t>
        </is>
      </c>
      <c r="B68" t="inlineStr">
        <is>
          <t>2024-10-13</t>
        </is>
      </c>
      <c r="C68" t="n">
        <v>-0</v>
      </c>
      <c r="D68" t="n">
        <v>1</v>
      </c>
      <c r="E68" t="n">
        <v>1</v>
      </c>
      <c r="F68" t="inlineStr">
        <is>
          <t>recovered</t>
        </is>
      </c>
    </row>
    <row r="69">
      <c r="A69" t="inlineStr">
        <is>
          <t>2026-01-09</t>
        </is>
      </c>
      <c r="B69" t="inlineStr">
        <is>
          <t>2026-01-10</t>
        </is>
      </c>
      <c r="C69" t="n">
        <v>-0</v>
      </c>
      <c r="D69" t="n">
        <v>1</v>
      </c>
      <c r="E69" t="n">
        <v>1</v>
      </c>
      <c r="F69" t="inlineStr">
        <is>
          <t>recovered</t>
        </is>
      </c>
    </row>
    <row r="70">
      <c r="A70" t="inlineStr">
        <is>
          <t>2025-06-07</t>
        </is>
      </c>
      <c r="B70" t="inlineStr">
        <is>
          <t>2025-06-08</t>
        </is>
      </c>
      <c r="C70" t="n">
        <v>-0</v>
      </c>
      <c r="D70" t="n">
        <v>1</v>
      </c>
      <c r="E70" t="n">
        <v>1</v>
      </c>
      <c r="F70" t="inlineStr">
        <is>
          <t>recovered</t>
        </is>
      </c>
    </row>
    <row r="71">
      <c r="A71" t="inlineStr">
        <is>
          <t>2025-10-03</t>
        </is>
      </c>
      <c r="B71" t="inlineStr">
        <is>
          <t>2025-10-04</t>
        </is>
      </c>
      <c r="C71" t="n">
        <v>-0</v>
      </c>
      <c r="D71" t="n">
        <v>1</v>
      </c>
      <c r="E71" t="n">
        <v>1</v>
      </c>
      <c r="F71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2026-06-26T23:31:57Z</dcterms:created>
  <dcterms:modified xsi:type="dcterms:W3CDTF">2026-07-20T19:10:56Z</dcterms:modified>
  <cp:lastModifiedBy>Family M-M</cp:lastModifiedBy>
  <cp:revision>0</cp:revision>
</cp:coreProperties>
</file>